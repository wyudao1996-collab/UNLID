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PL（損益計算書）" sheetId="2" state="visible" r:id="rId2"/>
    <sheet name="BS（貸借対照表）" sheetId="3" state="visible" r:id="rId3"/>
    <sheet name="CF（キャッシュフロー計算書）" sheetId="4" state="visible" r:id="rId4"/>
    <sheet name="感度分析" sheetId="5" state="visible" r:id="rId5"/>
    <sheet name="SME単価市場調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i val="1"/>
      <color rgb="00000000"/>
      <sz val="10"/>
    </font>
    <font>
      <name val="Meiryo U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8E7"/>
      </patternFill>
    </fill>
    <fill>
      <patternFill patternType="solid">
        <fgColor rgb="00FFFA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9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1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2" fontId="4" fillId="12" borderId="1" applyAlignment="1" pivotButton="0" quotePrefix="0" xfId="0">
      <alignment horizontal="center" vertical="center" wrapText="1"/>
    </xf>
    <xf numFmtId="2" fontId="5" fillId="12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2" fontId="4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UNLID 財務モデル 前提条件 v4.1</t>
        </is>
      </c>
    </row>
    <row r="2">
      <c r="A2" s="2" t="inlineStr">
        <is>
          <t>作成日：2026年3月  |  単位：万円  |  中央値シナリオ  |  月額単価20〜30万円レンジ</t>
        </is>
      </c>
    </row>
    <row r="4">
      <c r="A4" s="3" t="inlineStr">
        <is>
          <t>① 売上ドライバー（各シートの売上数値の根拠）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受託プロジェクト件数（件）※1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プロジェクト単価（万円/件）※2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11" t="inlineStr">
        <is>
          <t>※1 プロジェクト件数：月額サブスクとは別の「成果物確定型・単発受託」件数（例：AI自動化システム構築 160万/件）</t>
        </is>
      </c>
    </row>
    <row r="17">
      <c r="A17" s="11" t="inlineStr">
        <is>
          <t>※2 プロジェクト単価：Year2以降 平均160万円想定（AI実装・業務自動化の3ヶ月プロジェクト相場）</t>
        </is>
      </c>
    </row>
    <row r="19">
      <c r="A19" s="3" t="inlineStr">
        <is>
          <t>② コストドライバー</t>
        </is>
      </c>
    </row>
    <row r="20">
      <c r="A20" s="4" t="inlineStr">
        <is>
          <t>項目</t>
        </is>
      </c>
      <c r="B20" s="4" t="inlineStr">
        <is>
          <t>Year1</t>
        </is>
      </c>
      <c r="C20" s="4" t="inlineStr">
        <is>
          <t>Year2</t>
        </is>
      </c>
      <c r="D20" s="4" t="inlineStr">
        <is>
          <t>Year3</t>
        </is>
      </c>
    </row>
    <row r="21">
      <c r="A21" s="5" t="inlineStr">
        <is>
          <t>FDE正社員数（人）</t>
        </is>
      </c>
      <c r="B21" s="6" t="n">
        <v>2</v>
      </c>
      <c r="C21" s="6" t="n">
        <v>10</v>
      </c>
      <c r="D21" s="6" t="n">
        <v>32</v>
      </c>
    </row>
    <row r="22">
      <c r="A22" s="5" t="inlineStr">
        <is>
          <t>FDE 月額人件費（万円/人）</t>
        </is>
      </c>
      <c r="B22" s="6" t="n">
        <v>45</v>
      </c>
      <c r="C22" s="6" t="n">
        <v>40</v>
      </c>
      <c r="D22" s="6" t="n">
        <v>42</v>
      </c>
    </row>
    <row r="23">
      <c r="A23" s="7" t="inlineStr">
        <is>
          <t>FDE人件費合計（万円）</t>
        </is>
      </c>
      <c r="B23" s="8">
        <f>B21*B22*12</f>
        <v/>
      </c>
      <c r="C23" s="8">
        <f>C21*C22*12</f>
        <v/>
      </c>
      <c r="D23" s="8">
        <f>D21*D22*12</f>
        <v/>
      </c>
    </row>
    <row r="24">
      <c r="A24" s="5" t="inlineStr">
        <is>
          <t>創業者報酬（万円）</t>
        </is>
      </c>
      <c r="B24" s="6" t="n">
        <v>360</v>
      </c>
      <c r="C24" s="6" t="n">
        <v>600</v>
      </c>
      <c r="D24" s="6" t="n">
        <v>840</v>
      </c>
    </row>
    <row r="25">
      <c r="A25" s="5" t="inlineStr">
        <is>
          <t>管理・営業スタッフ人件費（万円）</t>
        </is>
      </c>
      <c r="B25" s="6" t="n">
        <v>0</v>
      </c>
      <c r="C25" s="6" t="n">
        <v>1080</v>
      </c>
      <c r="D25" s="6" t="n">
        <v>3360</v>
      </c>
    </row>
    <row r="26">
      <c r="A26" s="7" t="inlineStr">
        <is>
          <t>人件費合計（万円）</t>
        </is>
      </c>
      <c r="B26" s="8">
        <f>B23+B24+B25</f>
        <v/>
      </c>
      <c r="C26" s="8">
        <f>C23+C24+C25</f>
        <v/>
      </c>
      <c r="D26" s="8">
        <f>D23+D24+D25</f>
        <v/>
      </c>
    </row>
    <row r="27">
      <c r="A27" s="5" t="inlineStr">
        <is>
          <t>副業ワーカー報酬率（対売上）</t>
        </is>
      </c>
      <c r="B27" s="12" t="n">
        <v>0.09</v>
      </c>
      <c r="C27" s="12" t="n">
        <v>0.08</v>
      </c>
      <c r="D27" s="12" t="n">
        <v>0.08</v>
      </c>
    </row>
    <row r="28">
      <c r="A28" s="5" t="inlineStr">
        <is>
          <t>副業ワーカー報酬（万円）</t>
        </is>
      </c>
      <c r="B28" s="6">
        <f>前提条件!B15*B27</f>
        <v/>
      </c>
      <c r="C28" s="6">
        <f>前提条件!C15*C27</f>
        <v/>
      </c>
      <c r="D28" s="6">
        <f>前提条件!D15*D27</f>
        <v/>
      </c>
    </row>
    <row r="29">
      <c r="A29" s="5" t="inlineStr">
        <is>
          <t>オフィス・インフラ費（万円）</t>
        </is>
      </c>
      <c r="B29" s="6" t="n">
        <v>180</v>
      </c>
      <c r="C29" s="6" t="n">
        <v>360</v>
      </c>
      <c r="D29" s="6" t="n">
        <v>600</v>
      </c>
    </row>
    <row r="30">
      <c r="A30" s="5" t="inlineStr">
        <is>
          <t>マーケティング費（万円）</t>
        </is>
      </c>
      <c r="B30" s="6" t="n">
        <v>120</v>
      </c>
      <c r="C30" s="6" t="n">
        <v>360</v>
      </c>
      <c r="D30" s="6" t="n">
        <v>600</v>
      </c>
    </row>
    <row r="31">
      <c r="A31" s="5" t="inlineStr">
        <is>
          <t>法務・許認可費（万円）</t>
        </is>
      </c>
      <c r="B31" s="6" t="n">
        <v>200</v>
      </c>
      <c r="C31" s="6" t="n">
        <v>300</v>
      </c>
      <c r="D31" s="6" t="n">
        <v>400</v>
      </c>
    </row>
    <row r="32">
      <c r="A32" s="5" t="inlineStr">
        <is>
          <t>採用費（万円）</t>
        </is>
      </c>
      <c r="B32" s="6" t="n">
        <v>0</v>
      </c>
      <c r="C32" s="6" t="n">
        <v>500</v>
      </c>
      <c r="D32" s="6" t="n">
        <v>1500</v>
      </c>
    </row>
    <row r="33">
      <c r="A33" s="5" t="inlineStr">
        <is>
          <t>システム開発費（万円）</t>
        </is>
      </c>
      <c r="B33" s="6" t="n">
        <v>100</v>
      </c>
      <c r="C33" s="6" t="n">
        <v>300</v>
      </c>
      <c r="D33" s="6" t="n">
        <v>800</v>
      </c>
    </row>
    <row r="34">
      <c r="A34" s="5" t="inlineStr">
        <is>
          <t>その他（万円）</t>
        </is>
      </c>
      <c r="B34" s="6" t="n">
        <v>100</v>
      </c>
      <c r="C34" s="6" t="n">
        <v>200</v>
      </c>
      <c r="D34" s="6" t="n">
        <v>400</v>
      </c>
    </row>
    <row r="36">
      <c r="A36" s="3" t="inlineStr">
        <is>
          <t>③ その他前提</t>
        </is>
      </c>
    </row>
    <row r="37">
      <c r="A37" s="4" t="inlineStr">
        <is>
          <t>項目</t>
        </is>
      </c>
      <c r="B37" s="4" t="inlineStr">
        <is>
          <t>Year1</t>
        </is>
      </c>
      <c r="C37" s="4" t="inlineStr">
        <is>
          <t>Year2</t>
        </is>
      </c>
      <c r="D37" s="4" t="inlineStr">
        <is>
          <t>Year3</t>
        </is>
      </c>
    </row>
    <row r="38">
      <c r="A38" s="5" t="inlineStr">
        <is>
          <t>実効税率</t>
        </is>
      </c>
      <c r="B38" s="12" t="n">
        <v>0.3</v>
      </c>
      <c r="C38" s="12" t="n">
        <v>0.3</v>
      </c>
      <c r="D38" s="12" t="n">
        <v>0.3</v>
      </c>
    </row>
    <row r="39">
      <c r="A39" s="5" t="inlineStr">
        <is>
          <t>減価償却費（万円）</t>
        </is>
      </c>
      <c r="B39" s="6" t="n">
        <v>20</v>
      </c>
      <c r="C39" s="6" t="n">
        <v>80</v>
      </c>
      <c r="D39" s="6" t="n">
        <v>200</v>
      </c>
    </row>
    <row r="40">
      <c r="A40" s="5" t="inlineStr">
        <is>
          <t>設備投資 Capex（万円）</t>
        </is>
      </c>
      <c r="B40" s="6" t="n">
        <v>100</v>
      </c>
      <c r="C40" s="6" t="n">
        <v>300</v>
      </c>
      <c r="D40" s="6" t="n">
        <v>800</v>
      </c>
    </row>
    <row r="41">
      <c r="A41" s="5" t="inlineStr">
        <is>
          <t>初期調達資本（増資）（万円）</t>
        </is>
      </c>
      <c r="B41" s="6" t="n">
        <v>2000</v>
      </c>
      <c r="C41" s="6" t="n">
        <v>0</v>
      </c>
      <c r="D41" s="6" t="n">
        <v>0</v>
      </c>
    </row>
    <row r="42">
      <c r="A42" s="5" t="inlineStr">
        <is>
          <t>売掛金 回転日数（日）</t>
        </is>
      </c>
      <c r="B42" s="6" t="n">
        <v>30</v>
      </c>
      <c r="C42" s="6" t="n">
        <v>30</v>
      </c>
      <c r="D42" s="6" t="n">
        <v>30</v>
      </c>
    </row>
    <row r="43">
      <c r="A43" s="5" t="inlineStr">
        <is>
          <t>買掛金 回転日数（日）</t>
        </is>
      </c>
      <c r="B43" s="6" t="n">
        <v>15</v>
      </c>
      <c r="C43" s="6" t="n">
        <v>15</v>
      </c>
      <c r="D43" s="6" t="n">
        <v>15</v>
      </c>
    </row>
    <row r="44">
      <c r="A44" s="5" t="inlineStr">
        <is>
          <t>法定福利費率（社会保険料 事業主負担）</t>
        </is>
      </c>
      <c r="B44" s="12" t="n">
        <v>0.15</v>
      </c>
      <c r="C44" s="12" t="n">
        <v>0.15</v>
      </c>
      <c r="D44" s="12" t="n">
        <v>0.15</v>
      </c>
    </row>
    <row r="45">
      <c r="A45" s="13" t="inlineStr">
        <is>
          <t xml:space="preserve">  法定福利費 実額（万円）  ＝人件費合計×15%</t>
        </is>
      </c>
      <c r="B45" s="14">
        <f>ROUND(B26*B44,0)</f>
        <v/>
      </c>
      <c r="C45" s="14">
        <f>ROUND(C26*C44,0)</f>
        <v/>
      </c>
      <c r="D45" s="14">
        <f>ROUND(D26*D44,0)</f>
        <v/>
      </c>
    </row>
    <row r="46">
      <c r="A46" s="11" t="inlineStr">
        <is>
          <t>法定福利費内訳：健康保険（事業主5.0%）＋厚生年金（事業主9.15%）＋雇用保険（事業主0.95%）＋労災（0.3%）≒ 15.4%</t>
        </is>
      </c>
    </row>
    <row r="48">
      <c r="A48" s="3" t="inlineStr">
        <is>
          <t>④ 資金調達・日本政策金融公庫 借入金計画</t>
        </is>
      </c>
    </row>
    <row r="49">
      <c r="A49" s="4" t="inlineStr">
        <is>
          <t>項目</t>
        </is>
      </c>
      <c r="B49" s="4" t="inlineStr">
        <is>
          <t>Year1</t>
        </is>
      </c>
      <c r="C49" s="4" t="inlineStr">
        <is>
          <t>Year2</t>
        </is>
      </c>
      <c r="D49" s="4" t="inlineStr">
        <is>
          <t>Year3</t>
        </is>
      </c>
    </row>
    <row r="50">
      <c r="A50" s="5" t="inlineStr">
        <is>
          <t>政策公庫 新規借入額（万円）</t>
        </is>
      </c>
      <c r="B50" s="6" t="n">
        <v>500</v>
      </c>
      <c r="C50" s="6" t="n">
        <v>0</v>
      </c>
      <c r="D50" s="6" t="n">
        <v>0</v>
      </c>
    </row>
    <row r="51">
      <c r="A51" s="5" t="inlineStr">
        <is>
          <t>借入金利率（年率）</t>
        </is>
      </c>
      <c r="B51" s="12" t="n">
        <v>0.02</v>
      </c>
      <c r="C51" s="12">
        <f>B51</f>
        <v/>
      </c>
      <c r="D51" s="12">
        <f>B51</f>
        <v/>
      </c>
    </row>
    <row r="52">
      <c r="A52" s="5" t="inlineStr">
        <is>
          <t>返済年数（年）</t>
        </is>
      </c>
      <c r="B52" s="6" t="n">
        <v>5</v>
      </c>
      <c r="C52" s="6">
        <f>B52</f>
        <v/>
      </c>
      <c r="D52" s="6">
        <f>B52</f>
        <v/>
      </c>
    </row>
    <row r="53">
      <c r="A53" s="7" t="inlineStr">
        <is>
          <t>年間元利均等返済額（万円）</t>
        </is>
      </c>
      <c r="B53" s="15">
        <f>ROUND(PMT(B51,B52,-B50),1)</f>
        <v/>
      </c>
      <c r="C53" s="15">
        <f>B53</f>
        <v/>
      </c>
      <c r="D53" s="15">
        <f>B53</f>
        <v/>
      </c>
    </row>
    <row r="54">
      <c r="A54" s="5" t="inlineStr">
        <is>
          <t xml:space="preserve">  うち 支払利息（万円）</t>
        </is>
      </c>
      <c r="B54" s="16">
        <f>ROUND(-IPMT(B51,1,B52,B50),1)</f>
        <v/>
      </c>
      <c r="C54" s="16">
        <f>ROUND(-IPMT(B51,2,B52,B50),1)</f>
        <v/>
      </c>
      <c r="D54" s="16">
        <f>ROUND(-IPMT(B51,3,B52,B50),1)</f>
        <v/>
      </c>
    </row>
    <row r="55">
      <c r="A55" s="5" t="inlineStr">
        <is>
          <t xml:space="preserve">  うち 元本返済（万円）</t>
        </is>
      </c>
      <c r="B55" s="16">
        <f>ROUND(B53-B54,1)</f>
        <v/>
      </c>
      <c r="C55" s="16">
        <f>ROUND(B53-C54,1)</f>
        <v/>
      </c>
      <c r="D55" s="16">
        <f>ROUND(B53-D54,1)</f>
        <v/>
      </c>
    </row>
    <row r="56">
      <c r="A56" s="7" t="inlineStr">
        <is>
          <t>借入金残高（期末）（万円）</t>
        </is>
      </c>
      <c r="B56" s="15">
        <f>ROUND(B50-B55,1)</f>
        <v/>
      </c>
      <c r="C56" s="15">
        <f>ROUND(B56-C55,1)</f>
        <v/>
      </c>
      <c r="D56" s="15">
        <f>ROUND(C56-D55,1)</f>
        <v/>
      </c>
    </row>
    <row r="57">
      <c r="A57" s="11" t="inlineStr">
        <is>
          <t>参考：日本政策金融公庫 新創業融資制度 基準金利（2025〜2026年）：年2.00〜2.35%（担保・保証人不要）  ／  返済期間：最長7年（据置期間1年まで含む）  ／  融資上限：3,000万円</t>
        </is>
      </c>
    </row>
    <row r="59">
      <c r="A59" s="3" t="inlineStr">
        <is>
          <t>⑤ 解約率（Churn Rate）＆ グロス新規獲得社数計画（重要）</t>
        </is>
      </c>
    </row>
    <row r="60">
      <c r="A60" s="4" t="inlineStr">
        <is>
          <t>項目</t>
        </is>
      </c>
      <c r="B60" s="4" t="inlineStr">
        <is>
          <t>Year1</t>
        </is>
      </c>
      <c r="C60" s="4" t="inlineStr">
        <is>
          <t>Year2</t>
        </is>
      </c>
      <c r="D60" s="4" t="inlineStr">
        <is>
          <t>Year3</t>
        </is>
      </c>
    </row>
    <row r="61">
      <c r="A61" s="5" t="inlineStr">
        <is>
          <t>月次解約率（月チャーン）</t>
        </is>
      </c>
      <c r="B61" s="12" t="n">
        <v>0.03</v>
      </c>
      <c r="C61" s="12" t="n">
        <v>0.025</v>
      </c>
      <c r="D61" s="12" t="n">
        <v>0.02</v>
      </c>
    </row>
    <row r="62">
      <c r="A62" s="17" t="inlineStr">
        <is>
          <t xml:space="preserve">  年次解約率（年チャーン）＝ 1-(1-月次)^12</t>
        </is>
      </c>
      <c r="B62" s="18">
        <f>1-(1-B61)^12</f>
        <v/>
      </c>
      <c r="C62" s="18">
        <f>1-(1-C61)^12</f>
        <v/>
      </c>
      <c r="D62" s="18">
        <f>1-(1-D61)^12</f>
        <v/>
      </c>
    </row>
    <row r="63">
      <c r="A63" s="5" t="inlineStr">
        <is>
          <t>期初契約社数（前年末）</t>
        </is>
      </c>
      <c r="B63" s="6" t="n">
        <v>0</v>
      </c>
      <c r="C63" s="6">
        <f>B6</f>
        <v/>
      </c>
      <c r="D63" s="6">
        <f>C6</f>
        <v/>
      </c>
    </row>
    <row r="64">
      <c r="A64" s="13" t="inlineStr">
        <is>
          <t xml:space="preserve">  期中解約予測社数（期初×年次解約率）</t>
        </is>
      </c>
      <c r="B64" s="14">
        <f>ROUND(B63*B62,0)</f>
        <v/>
      </c>
      <c r="C64" s="14">
        <f>ROUND(C63*C62,0)</f>
        <v/>
      </c>
      <c r="D64" s="14">
        <f>ROUND(D63*D62,0)</f>
        <v/>
      </c>
    </row>
    <row r="65">
      <c r="A65" s="7" t="inlineStr">
        <is>
          <t>期末契約社数（ネット目標）</t>
        </is>
      </c>
      <c r="B65" s="8">
        <f>B6</f>
        <v/>
      </c>
      <c r="C65" s="8">
        <f>C6</f>
        <v/>
      </c>
      <c r="D65" s="8">
        <f>D6</f>
        <v/>
      </c>
    </row>
    <row r="66">
      <c r="A66" s="9" t="inlineStr">
        <is>
          <t>グロス新規獲得必要社数 ＝ 純増 ＋ 解約補填</t>
        </is>
      </c>
      <c r="B66" s="10">
        <f>(B65-B63)+B64</f>
        <v/>
      </c>
      <c r="C66" s="10">
        <f>(C65-C63)+C64</f>
        <v/>
      </c>
      <c r="D66" s="10">
        <f>(D65-D63)+D64</f>
        <v/>
      </c>
    </row>
    <row r="67">
      <c r="A67" s="13" t="inlineStr">
        <is>
          <t xml:space="preserve">  月次新規獲得必要ペース（社/月）</t>
        </is>
      </c>
      <c r="B67" s="19">
        <f>ROUND(B66/12,1)</f>
        <v/>
      </c>
      <c r="C67" s="19">
        <f>ROUND(C66/12,1)</f>
        <v/>
      </c>
      <c r="D67" s="19">
        <f>ROUND(D66/12,1)</f>
        <v/>
      </c>
    </row>
    <row r="68">
      <c r="A68" s="20" t="inlineStr">
        <is>
          <t>⚠️ 注意：グロス新規獲得 ≠ 期末純増。Year3（月次解約2%）では解約補填に約11社/年が必要 → 月10社のグロス獲得目標。解約補填を見落とすと営業目標が過少設定になり、黒字化が遅延する。</t>
        </is>
      </c>
    </row>
    <row r="70">
      <c r="A70" s="3" t="inlineStr">
        <is>
          <t>⑥ AI内部コスト（自社利用）＆ 運転資本（WC）必要額・黒字倒産リスク試算</t>
        </is>
      </c>
    </row>
    <row r="71">
      <c r="A71" s="4" t="inlineStr">
        <is>
          <t>項目</t>
        </is>
      </c>
      <c r="B71" s="4" t="inlineStr">
        <is>
          <t>Year1</t>
        </is>
      </c>
      <c r="C71" s="4" t="inlineStr">
        <is>
          <t>Year2</t>
        </is>
      </c>
      <c r="D71" s="4" t="inlineStr">
        <is>
          <t>Year3</t>
        </is>
      </c>
    </row>
    <row r="72">
      <c r="A72" s="5" t="inlineStr">
        <is>
          <t>AI内部ツール月額（万円/月） ※注1</t>
        </is>
      </c>
      <c r="B72" s="6" t="n">
        <v>5</v>
      </c>
      <c r="C72" s="6" t="n">
        <v>10</v>
      </c>
      <c r="D72" s="6" t="n">
        <v>20</v>
      </c>
    </row>
    <row r="73">
      <c r="A73" s="7" t="inlineStr">
        <is>
          <t>年間AI内部ツール費（万円）</t>
        </is>
      </c>
      <c r="B73" s="8">
        <f>B72*12</f>
        <v/>
      </c>
      <c r="C73" s="8">
        <f>C72*12</f>
        <v/>
      </c>
      <c r="D73" s="8">
        <f>D72*12</f>
        <v/>
      </c>
    </row>
    <row r="74">
      <c r="A74" s="17" t="inlineStr">
        <is>
          <t>※注1：Claude Code等のAPI費用はクライアントが直接負担。UNLIDが負担するのは社内開発・品質管理・FDE業務効率化ツールとしての自社利用分のみ（Claude Pro/Teams等）。</t>
        </is>
      </c>
      <c r="B74" s="78" t="n"/>
      <c r="C74" s="78" t="n"/>
      <c r="D74" s="79" t="n"/>
    </row>
    <row r="75">
      <c r="A75" s="22" t="inlineStr">
        <is>
          <t>売掛金 年末残高試算（万円） ＝ 売上×回収日数÷365</t>
        </is>
      </c>
      <c r="B75" s="23">
        <f>ROUND(B15*B42/365,0)</f>
        <v/>
      </c>
      <c r="C75" s="23">
        <f>ROUND(C15*C42/365,0)</f>
        <v/>
      </c>
      <c r="D75" s="23">
        <f>ROUND(D15*D42/365,0)</f>
        <v/>
      </c>
    </row>
    <row r="76">
      <c r="A76" s="5" t="inlineStr">
        <is>
          <t>資金立替期間（日）＝ 回収サイト − 支払サイト</t>
        </is>
      </c>
      <c r="B76" s="6">
        <f>B42-B43</f>
        <v/>
      </c>
      <c r="C76" s="6">
        <f>C42-C43</f>
        <v/>
      </c>
      <c r="D76" s="6">
        <f>D42-D43</f>
        <v/>
      </c>
    </row>
    <row r="77">
      <c r="A77" s="22" t="inlineStr">
        <is>
          <t>⚠️ 運転資本必要額概算（万円）≒ 売上×（回収日−支払日）÷365</t>
        </is>
      </c>
      <c r="B77" s="23">
        <f>ROUND(B15*(B42-B43)/365,0)</f>
        <v/>
      </c>
      <c r="C77" s="23">
        <f>ROUND(C15*(C42-C43)/365,0)</f>
        <v/>
      </c>
      <c r="D77" s="23">
        <f>ROUND(D15*(D42-D43)/365,0)</f>
        <v/>
      </c>
    </row>
    <row r="78">
      <c r="A78" s="17" t="inlineStr">
        <is>
          <t>ソフトウェア資産化オプション（参考）：システム開発費の一部をBS計上し減価償却</t>
        </is>
      </c>
      <c r="B78" s="24" t="inlineStr">
        <is>
          <t>PL費用処理（現行）</t>
        </is>
      </c>
      <c r="C78" s="24" t="inlineStr">
        <is>
          <t>BS無形資産計上（3年償却）検討可</t>
        </is>
      </c>
      <c r="D78" s="24" t="inlineStr">
        <is>
          <t>BS無形資産計上（3年償却）検討可</t>
        </is>
      </c>
    </row>
    <row r="79">
      <c r="A79" s="25" t="inlineStr">
        <is>
          <t>⚠️ 黒字倒産リスク：Year3（売上5.7億）では売掛金が約4,700万円まで膨張しうる（回収30日設定）。入金サイト短縮（前払い化・月次請求）または調達額への運転資金上乗せが必要。プロジェクト型（160万/件×15件）は検収後払いのため、現金ショートに特に注意。BSの無形資産計上を選択すると営業黒字化タイミングが最大1〜2期前倒しになる。</t>
        </is>
      </c>
    </row>
  </sheetData>
  <mergeCells count="15">
    <mergeCell ref="A1:D1"/>
    <mergeCell ref="A17:D17"/>
    <mergeCell ref="A70:D70"/>
    <mergeCell ref="A79:D79"/>
    <mergeCell ref="A74:D74"/>
    <mergeCell ref="A68:D68"/>
    <mergeCell ref="A4:D4"/>
    <mergeCell ref="A48:D48"/>
    <mergeCell ref="A59:D59"/>
    <mergeCell ref="A57:D57"/>
    <mergeCell ref="A16:D16"/>
    <mergeCell ref="A2:D2"/>
    <mergeCell ref="A19:D19"/>
    <mergeCell ref="A46:D4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損益計算書（P&amp;L）3ヶ年</t>
        </is>
      </c>
    </row>
    <row r="2">
      <c r="A2" s="2" t="inlineStr">
        <is>
          <t>単位：万円  |  前提条件シートの数値と完全連動</t>
        </is>
      </c>
    </row>
    <row r="3">
      <c r="A3" s="26" t="inlineStr">
        <is>
          <t>項目</t>
        </is>
      </c>
      <c r="B3" s="26" t="inlineStr">
        <is>
          <t>Year1</t>
        </is>
      </c>
      <c r="C3" s="26" t="inlineStr">
        <is>
          <t>Year2</t>
        </is>
      </c>
      <c r="D3" s="26" t="inlineStr">
        <is>
          <t>Year3</t>
        </is>
      </c>
      <c r="E3" s="26" t="inlineStr">
        <is>
          <t>3年累計</t>
        </is>
      </c>
    </row>
    <row r="4">
      <c r="A4" s="27" t="inlineStr">
        <is>
          <t>【売上高】</t>
        </is>
      </c>
      <c r="B4" s="78" t="n"/>
      <c r="C4" s="78" t="n"/>
      <c r="D4" s="78" t="n"/>
      <c r="E4" s="79" t="n"/>
    </row>
    <row r="5">
      <c r="A5" s="5" t="inlineStr">
        <is>
          <t xml:space="preserve">  B2B受託収益</t>
        </is>
      </c>
      <c r="B5" s="28">
        <f>前提条件!B8</f>
        <v/>
      </c>
      <c r="C5" s="28">
        <f>前提条件!C8</f>
        <v/>
      </c>
      <c r="D5" s="28">
        <f>前提条件!D8</f>
        <v/>
      </c>
      <c r="E5" s="29">
        <f>SUM(B5:D5)</f>
        <v/>
      </c>
    </row>
    <row r="6">
      <c r="A6" s="5" t="inlineStr">
        <is>
          <t xml:space="preserve">  人材紹介フィー</t>
        </is>
      </c>
      <c r="B6" s="28">
        <f>前提条件!B11</f>
        <v/>
      </c>
      <c r="C6" s="28">
        <f>前提条件!C11</f>
        <v/>
      </c>
      <c r="D6" s="28">
        <f>前提条件!D11</f>
        <v/>
      </c>
      <c r="E6" s="29">
        <f>SUM(B6:D6)</f>
        <v/>
      </c>
    </row>
    <row r="7">
      <c r="A7" s="5" t="inlineStr">
        <is>
          <t xml:space="preserve">  プロジェクト型受託</t>
        </is>
      </c>
      <c r="B7" s="28">
        <f>前提条件!B14</f>
        <v/>
      </c>
      <c r="C7" s="28">
        <f>前提条件!C14</f>
        <v/>
      </c>
      <c r="D7" s="28">
        <f>前提条件!D14</f>
        <v/>
      </c>
      <c r="E7" s="29">
        <f>SUM(B7:D7)</f>
        <v/>
      </c>
    </row>
    <row r="8">
      <c r="A8" s="9" t="inlineStr">
        <is>
          <t>売上合計</t>
        </is>
      </c>
      <c r="B8" s="30">
        <f>SUM(B5:B7)</f>
        <v/>
      </c>
      <c r="C8" s="30">
        <f>SUM(C5:C7)</f>
        <v/>
      </c>
      <c r="D8" s="30">
        <f>SUM(D5:D7)</f>
        <v/>
      </c>
      <c r="E8" s="30">
        <f>SUM(B8:D8)</f>
        <v/>
      </c>
    </row>
    <row r="9">
      <c r="A9" s="13" t="inlineStr">
        <is>
          <t>前年比成長率</t>
        </is>
      </c>
      <c r="B9" s="31" t="inlineStr">
        <is>
          <t>—</t>
        </is>
      </c>
      <c r="C9" s="32">
        <f>(C8-B8)/B8</f>
        <v/>
      </c>
      <c r="D9" s="32">
        <f>(D8-C8)/C8</f>
        <v/>
      </c>
      <c r="E9" s="31" t="inlineStr">
        <is>
          <t>—</t>
        </is>
      </c>
    </row>
    <row r="10">
      <c r="A10" s="21" t="n"/>
      <c r="B10" s="21" t="n"/>
      <c r="C10" s="21" t="n"/>
      <c r="D10" s="21" t="n"/>
      <c r="E10" s="21" t="n"/>
    </row>
    <row r="11">
      <c r="A11" s="27" t="inlineStr">
        <is>
          <t>【売上原価（変動費）】</t>
        </is>
      </c>
      <c r="B11" s="78" t="n"/>
      <c r="C11" s="78" t="n"/>
      <c r="D11" s="78" t="n"/>
      <c r="E11" s="79" t="n"/>
    </row>
    <row r="12">
      <c r="A12" s="5" t="inlineStr">
        <is>
          <t xml:space="preserve">  副業ワーカー報酬</t>
        </is>
      </c>
      <c r="B12" s="28">
        <f>前提条件!B28</f>
        <v/>
      </c>
      <c r="C12" s="28">
        <f>前提条件!C28</f>
        <v/>
      </c>
      <c r="D12" s="28">
        <f>前提条件!D28</f>
        <v/>
      </c>
      <c r="E12" s="29">
        <f>SUM(B12:D12)</f>
        <v/>
      </c>
    </row>
    <row r="13">
      <c r="A13" s="5" t="inlineStr">
        <is>
          <t xml:space="preserve">  FDE業務委託費（外注）</t>
        </is>
      </c>
      <c r="B13" s="28" t="n">
        <v>0</v>
      </c>
      <c r="C13" s="28" t="n">
        <v>200</v>
      </c>
      <c r="D13" s="28" t="n">
        <v>600</v>
      </c>
      <c r="E13" s="29">
        <f>SUM(B13:D13)</f>
        <v/>
      </c>
    </row>
    <row r="14">
      <c r="A14" s="7" t="inlineStr">
        <is>
          <t>売上原価合計</t>
        </is>
      </c>
      <c r="B14" s="33">
        <f>SUM(B12:B13)</f>
        <v/>
      </c>
      <c r="C14" s="33">
        <f>SUM(C12:C13)</f>
        <v/>
      </c>
      <c r="D14" s="33">
        <f>SUM(D12:D13)</f>
        <v/>
      </c>
      <c r="E14" s="33">
        <f>SUM(B14:D14)</f>
        <v/>
      </c>
    </row>
    <row r="15">
      <c r="A15" s="21" t="n"/>
      <c r="B15" s="21" t="n"/>
      <c r="C15" s="21" t="n"/>
      <c r="D15" s="21" t="n"/>
      <c r="E15" s="21" t="n"/>
    </row>
    <row r="16">
      <c r="A16" s="34" t="inlineStr">
        <is>
          <t>売上総利益（粗利）</t>
        </is>
      </c>
      <c r="B16" s="35">
        <f>B8-B14</f>
        <v/>
      </c>
      <c r="C16" s="35">
        <f>C8-C14</f>
        <v/>
      </c>
      <c r="D16" s="35">
        <f>D8-D14</f>
        <v/>
      </c>
      <c r="E16" s="35">
        <f>SUM(B16:D16)</f>
        <v/>
      </c>
    </row>
    <row r="17">
      <c r="A17" s="13" t="inlineStr">
        <is>
          <t>粗利率</t>
        </is>
      </c>
      <c r="B17" s="32">
        <f>B16/B8</f>
        <v/>
      </c>
      <c r="C17" s="32">
        <f>C16/C8</f>
        <v/>
      </c>
      <c r="D17" s="32">
        <f>D16/D8</f>
        <v/>
      </c>
      <c r="E17" s="21" t="n"/>
    </row>
    <row r="18">
      <c r="A18" s="21" t="n"/>
      <c r="B18" s="21" t="n"/>
      <c r="C18" s="21" t="n"/>
      <c r="D18" s="21" t="n"/>
      <c r="E18" s="21" t="n"/>
    </row>
    <row r="19">
      <c r="A19" s="27" t="inlineStr">
        <is>
          <t>【販売費及び一般管理費（SGA）】</t>
        </is>
      </c>
      <c r="B19" s="78" t="n"/>
      <c r="C19" s="78" t="n"/>
      <c r="D19" s="78" t="n"/>
      <c r="E19" s="79" t="n"/>
    </row>
    <row r="20">
      <c r="A20" s="5" t="inlineStr">
        <is>
          <t xml:space="preserve">  FDE正社員 人件費</t>
        </is>
      </c>
      <c r="B20" s="28">
        <f>前提条件!B23</f>
        <v/>
      </c>
      <c r="C20" s="28">
        <f>前提条件!C23</f>
        <v/>
      </c>
      <c r="D20" s="28">
        <f>前提条件!D23</f>
        <v/>
      </c>
      <c r="E20" s="29">
        <f>SUM(B20:D20)</f>
        <v/>
      </c>
    </row>
    <row r="21">
      <c r="A21" s="5" t="inlineStr">
        <is>
          <t xml:space="preserve">  創業者報酬</t>
        </is>
      </c>
      <c r="B21" s="28">
        <f>前提条件!B24</f>
        <v/>
      </c>
      <c r="C21" s="28">
        <f>前提条件!C24</f>
        <v/>
      </c>
      <c r="D21" s="28">
        <f>前提条件!D24</f>
        <v/>
      </c>
      <c r="E21" s="29">
        <f>SUM(B21:D21)</f>
        <v/>
      </c>
    </row>
    <row r="22">
      <c r="A22" s="5" t="inlineStr">
        <is>
          <t xml:space="preserve">  管理・営業スタッフ人件費</t>
        </is>
      </c>
      <c r="B22" s="28">
        <f>前提条件!B25</f>
        <v/>
      </c>
      <c r="C22" s="28">
        <f>前提条件!C25</f>
        <v/>
      </c>
      <c r="D22" s="28">
        <f>前提条件!D25</f>
        <v/>
      </c>
      <c r="E22" s="29">
        <f>SUM(B22:D22)</f>
        <v/>
      </c>
    </row>
    <row r="23">
      <c r="A23" s="36" t="inlineStr">
        <is>
          <t xml:space="preserve">  法定福利費（社会保険料 事業主負担）</t>
        </is>
      </c>
      <c r="B23" s="37">
        <f>前提条件!B45</f>
        <v/>
      </c>
      <c r="C23" s="37">
        <f>前提条件!C45</f>
        <v/>
      </c>
      <c r="D23" s="37">
        <f>前提条件!D45</f>
        <v/>
      </c>
      <c r="E23" s="37">
        <f>SUM(B23:D23)</f>
        <v/>
      </c>
    </row>
    <row r="24">
      <c r="A24" s="5" t="inlineStr">
        <is>
          <t xml:space="preserve">  オフィス・インフラ費</t>
        </is>
      </c>
      <c r="B24" s="28">
        <f>前提条件!B29</f>
        <v/>
      </c>
      <c r="C24" s="28">
        <f>前提条件!C29</f>
        <v/>
      </c>
      <c r="D24" s="28">
        <f>前提条件!D29</f>
        <v/>
      </c>
      <c r="E24" s="29">
        <f>SUM(B24:D24)</f>
        <v/>
      </c>
    </row>
    <row r="25">
      <c r="A25" s="5" t="inlineStr">
        <is>
          <t xml:space="preserve">  マーケティング費</t>
        </is>
      </c>
      <c r="B25" s="28">
        <f>前提条件!B30</f>
        <v/>
      </c>
      <c r="C25" s="28">
        <f>前提条件!C30</f>
        <v/>
      </c>
      <c r="D25" s="28">
        <f>前提条件!D30</f>
        <v/>
      </c>
      <c r="E25" s="29">
        <f>SUM(B25:D25)</f>
        <v/>
      </c>
    </row>
    <row r="26">
      <c r="A26" s="5" t="inlineStr">
        <is>
          <t xml:space="preserve">  法務・許認可費</t>
        </is>
      </c>
      <c r="B26" s="28">
        <f>前提条件!B31</f>
        <v/>
      </c>
      <c r="C26" s="28">
        <f>前提条件!C31</f>
        <v/>
      </c>
      <c r="D26" s="28">
        <f>前提条件!D31</f>
        <v/>
      </c>
      <c r="E26" s="29">
        <f>SUM(B26:D26)</f>
        <v/>
      </c>
    </row>
    <row r="27">
      <c r="A27" s="5" t="inlineStr">
        <is>
          <t xml:space="preserve">  採用費</t>
        </is>
      </c>
      <c r="B27" s="28">
        <f>前提条件!B32</f>
        <v/>
      </c>
      <c r="C27" s="28">
        <f>前提条件!C32</f>
        <v/>
      </c>
      <c r="D27" s="28">
        <f>前提条件!D32</f>
        <v/>
      </c>
      <c r="E27" s="29">
        <f>SUM(B27:D27)</f>
        <v/>
      </c>
    </row>
    <row r="28">
      <c r="A28" s="5" t="inlineStr">
        <is>
          <t xml:space="preserve">  システム開発費</t>
        </is>
      </c>
      <c r="B28" s="28">
        <f>前提条件!B33</f>
        <v/>
      </c>
      <c r="C28" s="28">
        <f>前提条件!C33</f>
        <v/>
      </c>
      <c r="D28" s="28">
        <f>前提条件!D33</f>
        <v/>
      </c>
      <c r="E28" s="29">
        <f>SUM(B28:D28)</f>
        <v/>
      </c>
    </row>
    <row r="29">
      <c r="A29" s="5" t="inlineStr">
        <is>
          <t xml:space="preserve">  その他</t>
        </is>
      </c>
      <c r="B29" s="28">
        <f>前提条件!B34</f>
        <v/>
      </c>
      <c r="C29" s="28">
        <f>前提条件!C34</f>
        <v/>
      </c>
      <c r="D29" s="28">
        <f>前提条件!D34</f>
        <v/>
      </c>
      <c r="E29" s="29">
        <f>SUM(B29:D29)</f>
        <v/>
      </c>
    </row>
    <row r="30">
      <c r="A30" s="7" t="inlineStr">
        <is>
          <t>販管費合計</t>
        </is>
      </c>
      <c r="B30" s="33">
        <f>SUM(B20:B29)</f>
        <v/>
      </c>
      <c r="C30" s="33">
        <f>SUM(C20:C29)</f>
        <v/>
      </c>
      <c r="D30" s="33">
        <f>SUM(D20:D29)</f>
        <v/>
      </c>
      <c r="E30" s="33">
        <f>SUM(B30:D30)</f>
        <v/>
      </c>
    </row>
    <row r="31">
      <c r="A31" s="13" t="inlineStr">
        <is>
          <t>販管費率</t>
        </is>
      </c>
      <c r="B31" s="32">
        <f>B30/B8</f>
        <v/>
      </c>
      <c r="C31" s="32">
        <f>C30/C8</f>
        <v/>
      </c>
      <c r="D31" s="32">
        <f>D30/D8</f>
        <v/>
      </c>
      <c r="E31" s="21" t="n"/>
    </row>
    <row r="32">
      <c r="A32" s="21" t="n"/>
      <c r="B32" s="21" t="n"/>
      <c r="C32" s="21" t="n"/>
      <c r="D32" s="21" t="n"/>
      <c r="E32" s="21" t="n"/>
    </row>
    <row r="33">
      <c r="A33" s="34" t="inlineStr">
        <is>
          <t>営業利益（EBIT）</t>
        </is>
      </c>
      <c r="B33" s="35">
        <f>B16-B30</f>
        <v/>
      </c>
      <c r="C33" s="35">
        <f>C16-C30</f>
        <v/>
      </c>
      <c r="D33" s="35">
        <f>D16-D30</f>
        <v/>
      </c>
      <c r="E33" s="35">
        <f>SUM(B33:D33)</f>
        <v/>
      </c>
    </row>
    <row r="34">
      <c r="A34" s="13" t="inlineStr">
        <is>
          <t>営業利益率</t>
        </is>
      </c>
      <c r="B34" s="32">
        <f>B33/B8</f>
        <v/>
      </c>
      <c r="C34" s="32">
        <f>C33/C8</f>
        <v/>
      </c>
      <c r="D34" s="32">
        <f>D33/D8</f>
        <v/>
      </c>
      <c r="E34" s="21" t="n"/>
    </row>
    <row r="35">
      <c r="A35" s="13" t="inlineStr">
        <is>
          <t xml:space="preserve">  (+) 減価償却費（非資金費用 加算）</t>
        </is>
      </c>
      <c r="B35" s="38">
        <f>前提条件!B39</f>
        <v/>
      </c>
      <c r="C35" s="38">
        <f>前提条件!C39</f>
        <v/>
      </c>
      <c r="D35" s="38">
        <f>前提条件!D39</f>
        <v/>
      </c>
      <c r="E35" s="21" t="n"/>
    </row>
    <row r="36">
      <c r="A36" s="34" t="inlineStr">
        <is>
          <t>EBITDA</t>
        </is>
      </c>
      <c r="B36" s="35">
        <f>B33+B35</f>
        <v/>
      </c>
      <c r="C36" s="35">
        <f>C33+C35</f>
        <v/>
      </c>
      <c r="D36" s="35">
        <f>D33+D35</f>
        <v/>
      </c>
      <c r="E36" s="35">
        <f>SUM(B36:D36)</f>
        <v/>
      </c>
    </row>
    <row r="37">
      <c r="A37" s="13" t="inlineStr">
        <is>
          <t>EBITDAマージン</t>
        </is>
      </c>
      <c r="B37" s="32">
        <f>B36/B8</f>
        <v/>
      </c>
      <c r="C37" s="32">
        <f>C36/C8</f>
        <v/>
      </c>
      <c r="D37" s="32">
        <f>D36/D8</f>
        <v/>
      </c>
      <c r="E37" s="21" t="n"/>
    </row>
    <row r="38">
      <c r="A38" s="5" t="inlineStr"/>
      <c r="B38" s="78" t="n"/>
      <c r="C38" s="78" t="n"/>
      <c r="D38" s="78" t="n"/>
      <c r="E38" s="79" t="n"/>
    </row>
    <row r="39">
      <c r="A39" s="36" t="inlineStr">
        <is>
          <t xml:space="preserve">  (-) 支払利息（政策公庫借入 年2.0%）</t>
        </is>
      </c>
      <c r="B39" s="37">
        <f>-前提条件!B54</f>
        <v/>
      </c>
      <c r="C39" s="37">
        <f>-前提条件!C54</f>
        <v/>
      </c>
      <c r="D39" s="37">
        <f>-前提条件!D54</f>
        <v/>
      </c>
      <c r="E39" s="37">
        <f>SUM(B39:D39)</f>
        <v/>
      </c>
    </row>
    <row r="40">
      <c r="A40" s="34" t="inlineStr">
        <is>
          <t>税引前利益（EBT）</t>
        </is>
      </c>
      <c r="B40" s="35">
        <f>B33+B39</f>
        <v/>
      </c>
      <c r="C40" s="35">
        <f>C33+C39</f>
        <v/>
      </c>
      <c r="D40" s="35">
        <f>D33+D39</f>
        <v/>
      </c>
      <c r="E40" s="35">
        <f>SUM(B40:D40)</f>
        <v/>
      </c>
    </row>
    <row r="41">
      <c r="A41" s="5" t="inlineStr">
        <is>
          <t xml:space="preserve">  法人税等（実効税率30%）※EBTが正の場合のみ</t>
        </is>
      </c>
      <c r="B41" s="28">
        <f>IF(B40&gt;0,ROUND(B40*前提条件!B38,0),0)</f>
        <v/>
      </c>
      <c r="C41" s="28">
        <f>IF(C40&gt;0,ROUND(C40*前提条件!B38,0),0)</f>
        <v/>
      </c>
      <c r="D41" s="28">
        <f>IF(D40&gt;0,ROUND(D40*前提条件!B38,0),0)</f>
        <v/>
      </c>
      <c r="E41" s="28">
        <f>SUM(B41:D41)</f>
        <v/>
      </c>
    </row>
    <row r="42">
      <c r="A42" s="34" t="inlineStr">
        <is>
          <t>当期純利益</t>
        </is>
      </c>
      <c r="B42" s="35">
        <f>B40-B41</f>
        <v/>
      </c>
      <c r="C42" s="35">
        <f>C40-C41</f>
        <v/>
      </c>
      <c r="D42" s="35">
        <f>D40-D41</f>
        <v/>
      </c>
      <c r="E42" s="35">
        <f>SUM(B42:D42)</f>
        <v/>
      </c>
    </row>
    <row r="43">
      <c r="A43" s="13" t="inlineStr">
        <is>
          <t>純利益率</t>
        </is>
      </c>
      <c r="B43" s="32">
        <f>B42/B8</f>
        <v/>
      </c>
      <c r="C43" s="32">
        <f>C42/C8</f>
        <v/>
      </c>
      <c r="D43" s="32">
        <f>D42/D8</f>
        <v/>
      </c>
      <c r="E43" s="21" t="n"/>
    </row>
  </sheetData>
  <mergeCells count="8">
    <mergeCell ref="A1:D1"/>
    <mergeCell ref="A4:E4"/>
    <mergeCell ref="A38:E38"/>
    <mergeCell ref="A2:E2"/>
    <mergeCell ref="A19:E19"/>
    <mergeCell ref="A11:E11"/>
    <mergeCell ref="A1:E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貸借対照表（B/S）3ヶ年</t>
        </is>
      </c>
    </row>
    <row r="2">
      <c r="A2" s="2" t="inlineStr">
        <is>
          <t>単位：万円  |  期末残高  |  PL・CF連動</t>
        </is>
      </c>
    </row>
    <row r="3">
      <c r="A3" s="26" t="inlineStr">
        <is>
          <t>項目</t>
        </is>
      </c>
      <c r="B3" s="26" t="inlineStr">
        <is>
          <t>期首（Year0）</t>
        </is>
      </c>
      <c r="C3" s="26" t="inlineStr">
        <is>
          <t>Year1末</t>
        </is>
      </c>
      <c r="D3" s="26" t="inlineStr">
        <is>
          <t>Year2末</t>
        </is>
      </c>
      <c r="E3" s="26" t="inlineStr">
        <is>
          <t>Year3末</t>
        </is>
      </c>
    </row>
    <row r="4">
      <c r="A4" s="27" t="inlineStr">
        <is>
          <t>【資産の部】</t>
        </is>
      </c>
      <c r="B4" s="78" t="n"/>
      <c r="C4" s="78" t="n"/>
      <c r="D4" s="78" t="n"/>
      <c r="E4" s="79" t="n"/>
    </row>
    <row r="5">
      <c r="A5" s="5" t="inlineStr">
        <is>
          <t xml:space="preserve">  現金・預金</t>
        </is>
      </c>
      <c r="B5" s="28" t="n">
        <v>2000</v>
      </c>
      <c r="C5" s="28">
        <f>B5+CF（キャッシュフロー計算書）!B24</f>
        <v/>
      </c>
      <c r="D5" s="28">
        <f>C5+CF（キャッシュフロー計算書）!C24</f>
        <v/>
      </c>
      <c r="E5" s="28">
        <f>D5+CF（キャッシュフロー計算書）!D24</f>
        <v/>
      </c>
    </row>
    <row r="6">
      <c r="A6" s="5" t="inlineStr">
        <is>
          <t xml:space="preserve">  売掛金</t>
        </is>
      </c>
      <c r="B6" s="28" t="n">
        <v>0</v>
      </c>
      <c r="C6" s="28">
        <f>ROUND(PL（損益計算書）!B8*前提条件!B42/365,0)</f>
        <v/>
      </c>
      <c r="D6" s="28">
        <f>ROUND(PL（損益計算書）!C8*前提条件!C42/365,0)</f>
        <v/>
      </c>
      <c r="E6" s="28">
        <f>ROUND(PL（損益計算書）!D8*前提条件!D42/365,0)</f>
        <v/>
      </c>
    </row>
    <row r="7">
      <c r="A7" s="5" t="inlineStr">
        <is>
          <t xml:space="preserve">  前払費用・その他流動資産</t>
        </is>
      </c>
      <c r="B7" s="28" t="n">
        <v>50</v>
      </c>
      <c r="C7" s="28" t="n">
        <v>50</v>
      </c>
      <c r="D7" s="28" t="n">
        <v>50</v>
      </c>
      <c r="E7" s="28" t="n">
        <v>50</v>
      </c>
    </row>
    <row r="8">
      <c r="A8" s="7" t="inlineStr">
        <is>
          <t>流動資産合計</t>
        </is>
      </c>
      <c r="B8" s="33">
        <f>SUM(B5:B7)</f>
        <v/>
      </c>
      <c r="C8" s="33">
        <f>SUM(C5:C7)</f>
        <v/>
      </c>
      <c r="D8" s="33">
        <f>SUM(D5:D7)</f>
        <v/>
      </c>
      <c r="E8" s="33">
        <f>SUM(E5:E7)</f>
        <v/>
      </c>
    </row>
    <row r="9">
      <c r="A9" s="5" t="inlineStr">
        <is>
          <t xml:space="preserve">  固定資産（純額）</t>
        </is>
      </c>
      <c r="B9" s="28" t="n">
        <v>0</v>
      </c>
      <c r="C9" s="28">
        <f>B9+前提条件!B40-前提条件!B39</f>
        <v/>
      </c>
      <c r="D9" s="28">
        <f>C9+前提条件!C40-前提条件!C39</f>
        <v/>
      </c>
      <c r="E9" s="28">
        <f>D9+前提条件!D40-前提条件!D39</f>
        <v/>
      </c>
    </row>
    <row r="10">
      <c r="A10" s="9" t="inlineStr">
        <is>
          <t>資産合計</t>
        </is>
      </c>
      <c r="B10" s="30">
        <f>B8+B9</f>
        <v/>
      </c>
      <c r="C10" s="30">
        <f>C8+C9</f>
        <v/>
      </c>
      <c r="D10" s="30">
        <f>D8+D9</f>
        <v/>
      </c>
      <c r="E10" s="30">
        <f>E8+E9</f>
        <v/>
      </c>
    </row>
    <row r="11">
      <c r="A11" s="21" t="n"/>
      <c r="B11" s="21" t="n"/>
      <c r="C11" s="21" t="n"/>
      <c r="D11" s="21" t="n"/>
      <c r="E11" s="21" t="n"/>
    </row>
    <row r="12">
      <c r="A12" s="27" t="inlineStr">
        <is>
          <t>【負債の部】</t>
        </is>
      </c>
      <c r="B12" s="78" t="n"/>
      <c r="C12" s="78" t="n"/>
      <c r="D12" s="78" t="n"/>
      <c r="E12" s="79" t="n"/>
    </row>
    <row r="13">
      <c r="A13" s="5" t="inlineStr">
        <is>
          <t xml:space="preserve">  買掛金</t>
        </is>
      </c>
      <c r="B13" s="28" t="n">
        <v>0</v>
      </c>
      <c r="C13" s="28">
        <f>ROUND(PL（損益計算書）!B14*前提条件!B43/365,0)</f>
        <v/>
      </c>
      <c r="D13" s="28">
        <f>ROUND(PL（損益計算書）!C14*前提条件!C43/365,0)</f>
        <v/>
      </c>
      <c r="E13" s="28">
        <f>ROUND(PL（損益計算書）!D14*前提条件!D43/365,0)</f>
        <v/>
      </c>
    </row>
    <row r="14">
      <c r="A14" s="5" t="inlineStr">
        <is>
          <t xml:space="preserve">  未払費用（1ヶ月分人件費等）</t>
        </is>
      </c>
      <c r="B14" s="28" t="n">
        <v>0</v>
      </c>
      <c r="C14" s="28">
        <f>ROUND(前提条件!B26/12,0)</f>
        <v/>
      </c>
      <c r="D14" s="28">
        <f>ROUND(前提条件!C26/12,0)</f>
        <v/>
      </c>
      <c r="E14" s="28">
        <f>ROUND(前提条件!D26/12,0)</f>
        <v/>
      </c>
    </row>
    <row r="15">
      <c r="A15" s="7" t="inlineStr">
        <is>
          <t>流動負債合計</t>
        </is>
      </c>
      <c r="B15" s="33">
        <f>SUM(B13:B14)</f>
        <v/>
      </c>
      <c r="C15" s="33">
        <f>SUM(C13:C14)</f>
        <v/>
      </c>
      <c r="D15" s="33">
        <f>SUM(D13:D14)</f>
        <v/>
      </c>
      <c r="E15" s="33">
        <f>SUM(E13:E14)</f>
        <v/>
      </c>
    </row>
    <row r="16">
      <c r="A16" s="36" t="inlineStr">
        <is>
          <t xml:space="preserve">  政策公庫借入金（長期）</t>
        </is>
      </c>
      <c r="B16" s="37" t="n">
        <v>0</v>
      </c>
      <c r="C16" s="37">
        <f>ROUND(前提条件!B56,0)</f>
        <v/>
      </c>
      <c r="D16" s="37">
        <f>ROUND(前提条件!C56,0)</f>
        <v/>
      </c>
      <c r="E16" s="37">
        <f>ROUND(前提条件!D56,0)</f>
        <v/>
      </c>
    </row>
    <row r="17">
      <c r="A17" s="7" t="inlineStr">
        <is>
          <t>負債合計</t>
        </is>
      </c>
      <c r="B17" s="33">
        <f>B15+B16</f>
        <v/>
      </c>
      <c r="C17" s="33">
        <f>C15+C16</f>
        <v/>
      </c>
      <c r="D17" s="33">
        <f>D15+D16</f>
        <v/>
      </c>
      <c r="E17" s="33">
        <f>E15+E16</f>
        <v/>
      </c>
    </row>
    <row r="18">
      <c r="A18" s="21" t="n"/>
      <c r="B18" s="21" t="n"/>
      <c r="C18" s="21" t="n"/>
      <c r="D18" s="21" t="n"/>
      <c r="E18" s="21" t="n"/>
    </row>
    <row r="19">
      <c r="A19" s="27" t="inlineStr">
        <is>
          <t>【純資産の部】</t>
        </is>
      </c>
      <c r="B19" s="78" t="n"/>
      <c r="C19" s="78" t="n"/>
      <c r="D19" s="78" t="n"/>
      <c r="E19" s="79" t="n"/>
    </row>
    <row r="20">
      <c r="A20" s="5" t="inlineStr">
        <is>
          <t xml:space="preserve">  資本金・資本剰余金（累積増資）</t>
        </is>
      </c>
      <c r="B20" s="28" t="n">
        <v>2000</v>
      </c>
      <c r="C20" s="28">
        <f>B20+前提条件!B41</f>
        <v/>
      </c>
      <c r="D20" s="28">
        <f>C20+前提条件!C41</f>
        <v/>
      </c>
      <c r="E20" s="28">
        <f>D20+前提条件!D41</f>
        <v/>
      </c>
    </row>
    <row r="21">
      <c r="A21" s="5" t="inlineStr">
        <is>
          <t xml:space="preserve">  利益剰余金（累積）</t>
        </is>
      </c>
      <c r="B21" s="28" t="n">
        <v>0</v>
      </c>
      <c r="C21" s="28">
        <f>B21+PL（損益計算書）!B42</f>
        <v/>
      </c>
      <c r="D21" s="28">
        <f>C21+PL（損益計算書）!C42</f>
        <v/>
      </c>
      <c r="E21" s="28">
        <f>D21+PL（損益計算書）!D42</f>
        <v/>
      </c>
    </row>
    <row r="22">
      <c r="A22" s="34" t="inlineStr">
        <is>
          <t>純資産合計</t>
        </is>
      </c>
      <c r="B22" s="35">
        <f>B20+B21</f>
        <v/>
      </c>
      <c r="C22" s="35">
        <f>C20+C21</f>
        <v/>
      </c>
      <c r="D22" s="35">
        <f>D20+D21</f>
        <v/>
      </c>
      <c r="E22" s="35">
        <f>E20+E21</f>
        <v/>
      </c>
    </row>
    <row r="23">
      <c r="A23" s="9" t="inlineStr">
        <is>
          <t>負債・純資産合計</t>
        </is>
      </c>
      <c r="B23" s="30">
        <f>B17+B22</f>
        <v/>
      </c>
      <c r="C23" s="30">
        <f>C17+C22</f>
        <v/>
      </c>
      <c r="D23" s="30">
        <f>D17+D22</f>
        <v/>
      </c>
      <c r="E23" s="30">
        <f>E17+E22</f>
        <v/>
      </c>
    </row>
    <row r="24">
      <c r="A24" s="17" t="inlineStr">
        <is>
          <t xml:space="preserve">  ✓ バランスチェック（資産合計−負債純資産合計 ＝ 0が正常）</t>
        </is>
      </c>
      <c r="B24" s="39">
        <f>B10-B23</f>
        <v/>
      </c>
      <c r="C24" s="39">
        <f>C10-C23</f>
        <v/>
      </c>
      <c r="D24" s="39">
        <f>D10-D23</f>
        <v/>
      </c>
      <c r="E24" s="39">
        <f>E10-E23</f>
        <v/>
      </c>
    </row>
  </sheetData>
  <mergeCells count="7">
    <mergeCell ref="A1:D1"/>
    <mergeCell ref="A12:E12"/>
    <mergeCell ref="A4:E4"/>
    <mergeCell ref="A2:E2"/>
    <mergeCell ref="A19:E19"/>
    <mergeCell ref="A1:E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キャッシュフロー計算書（間接法）3ヶ年</t>
        </is>
      </c>
    </row>
    <row r="2">
      <c r="A2" s="2" t="inlineStr">
        <is>
          <t>単位：万円  |  PL・BS連動  ※CF合計＝期末現金変動額</t>
        </is>
      </c>
    </row>
    <row r="3">
      <c r="A3" s="26" t="inlineStr">
        <is>
          <t>項目</t>
        </is>
      </c>
      <c r="B3" s="26" t="inlineStr">
        <is>
          <t>Year1</t>
        </is>
      </c>
      <c r="C3" s="26" t="inlineStr">
        <is>
          <t>Year2</t>
        </is>
      </c>
      <c r="D3" s="26" t="inlineStr">
        <is>
          <t>Year3</t>
        </is>
      </c>
      <c r="E3" s="26" t="inlineStr">
        <is>
          <t>3年累計</t>
        </is>
      </c>
    </row>
    <row r="4">
      <c r="A4" s="27" t="inlineStr">
        <is>
          <t>【営業活動によるCF】（間接法）</t>
        </is>
      </c>
      <c r="B4" s="78" t="n"/>
      <c r="C4" s="78" t="n"/>
      <c r="D4" s="78" t="n"/>
      <c r="E4" s="79" t="n"/>
    </row>
    <row r="5">
      <c r="A5" s="5" t="inlineStr">
        <is>
          <t xml:space="preserve">  当期純利益（起点）</t>
        </is>
      </c>
      <c r="B5" s="28">
        <f>PL（損益計算書）!B42</f>
        <v/>
      </c>
      <c r="C5" s="28">
        <f>PL（損益計算書）!C42</f>
        <v/>
      </c>
      <c r="D5" s="28">
        <f>PL（損益計算書）!D42</f>
        <v/>
      </c>
      <c r="E5" s="29">
        <f>SUM(B5:D5)</f>
        <v/>
      </c>
    </row>
    <row r="6">
      <c r="A6" s="5" t="inlineStr">
        <is>
          <t xml:space="preserve">  (+) 減価償却費（非資金費用）</t>
        </is>
      </c>
      <c r="B6" s="28">
        <f>前提条件!B39</f>
        <v/>
      </c>
      <c r="C6" s="28">
        <f>前提条件!C39</f>
        <v/>
      </c>
      <c r="D6" s="28">
        <f>前提条件!D39</f>
        <v/>
      </c>
      <c r="E6" s="29">
        <f>SUM(B6:D6)</f>
        <v/>
      </c>
    </row>
    <row r="7">
      <c r="A7" s="5" t="inlineStr">
        <is>
          <t xml:space="preserve">  (-) 売掛金 増加</t>
        </is>
      </c>
      <c r="B7" s="28">
        <f>-(BS（貸借対照表）!C6-BS（貸借対照表）!B6)</f>
        <v/>
      </c>
      <c r="C7" s="28">
        <f>-(BS（貸借対照表）!D6-BS（貸借対照表）!C6)</f>
        <v/>
      </c>
      <c r="D7" s="28">
        <f>-(BS（貸借対照表）!E6-BS（貸借対照表）!D6)</f>
        <v/>
      </c>
      <c r="E7" s="29">
        <f>SUM(B7:D7)</f>
        <v/>
      </c>
    </row>
    <row r="8">
      <c r="A8" s="5" t="inlineStr">
        <is>
          <t xml:space="preserve">  (+) 買掛金 増加</t>
        </is>
      </c>
      <c r="B8" s="28">
        <f>BS（貸借対照表）!C13-BS（貸借対照表）!B13</f>
        <v/>
      </c>
      <c r="C8" s="28">
        <f>BS（貸借対照表）!D13-BS（貸借対照表）!C13</f>
        <v/>
      </c>
      <c r="D8" s="28">
        <f>BS（貸借対照表）!E13-BS（貸借対照表）!D13</f>
        <v/>
      </c>
      <c r="E8" s="29">
        <f>SUM(B8:D8)</f>
        <v/>
      </c>
    </row>
    <row r="9">
      <c r="A9" s="5" t="inlineStr">
        <is>
          <t xml:space="preserve">  (+) 未払費用 増加</t>
        </is>
      </c>
      <c r="B9" s="28">
        <f>BS（貸借対照表）!C14-BS（貸借対照表）!B14</f>
        <v/>
      </c>
      <c r="C9" s="28">
        <f>BS（貸借対照表）!D14-BS（貸借対照表）!C14</f>
        <v/>
      </c>
      <c r="D9" s="28">
        <f>BS（貸借対照表）!E14-BS（貸借対照表）!D14</f>
        <v/>
      </c>
      <c r="E9" s="29">
        <f>SUM(B9:D9)</f>
        <v/>
      </c>
    </row>
    <row r="10">
      <c r="A10" s="5" t="inlineStr">
        <is>
          <t xml:space="preserve">  (-) 法人税等 支払い</t>
        </is>
      </c>
      <c r="B10" s="28">
        <f>-PL（損益計算書）!B41</f>
        <v/>
      </c>
      <c r="C10" s="28">
        <f>-PL（損益計算書）!C41</f>
        <v/>
      </c>
      <c r="D10" s="28">
        <f>-PL（損益計算書）!D41</f>
        <v/>
      </c>
      <c r="E10" s="29">
        <f>SUM(B10:D10)</f>
        <v/>
      </c>
    </row>
    <row r="11">
      <c r="A11" s="34" t="inlineStr">
        <is>
          <t>営業活動CF 合計</t>
        </is>
      </c>
      <c r="B11" s="35">
        <f>SUM(B5:B10)</f>
        <v/>
      </c>
      <c r="C11" s="35">
        <f>SUM(C5:C10)</f>
        <v/>
      </c>
      <c r="D11" s="35">
        <f>SUM(D5:D10)</f>
        <v/>
      </c>
      <c r="E11" s="35">
        <f>SUM(B11:D11)</f>
        <v/>
      </c>
    </row>
    <row r="12">
      <c r="A12" s="21" t="n"/>
      <c r="B12" s="21" t="n"/>
      <c r="C12" s="21" t="n"/>
      <c r="D12" s="21" t="n"/>
      <c r="E12" s="21" t="n"/>
    </row>
    <row r="13">
      <c r="A13" s="27" t="inlineStr">
        <is>
          <t>【投資活動によるCF】</t>
        </is>
      </c>
      <c r="B13" s="78" t="n"/>
      <c r="C13" s="78" t="n"/>
      <c r="D13" s="78" t="n"/>
      <c r="E13" s="79" t="n"/>
    </row>
    <row r="14">
      <c r="A14" s="5" t="inlineStr">
        <is>
          <t xml:space="preserve">  (-) 設備投資（Capex）</t>
        </is>
      </c>
      <c r="B14" s="28">
        <f>-前提条件!B40</f>
        <v/>
      </c>
      <c r="C14" s="28">
        <f>-前提条件!C40</f>
        <v/>
      </c>
      <c r="D14" s="28">
        <f>-前提条件!D40</f>
        <v/>
      </c>
      <c r="E14" s="29">
        <f>SUM(B14:D14)</f>
        <v/>
      </c>
    </row>
    <row r="15">
      <c r="A15" s="22" t="inlineStr">
        <is>
          <t>投資活動CF 合計</t>
        </is>
      </c>
      <c r="B15" s="40">
        <f>B14</f>
        <v/>
      </c>
      <c r="C15" s="40">
        <f>C14</f>
        <v/>
      </c>
      <c r="D15" s="40">
        <f>D14</f>
        <v/>
      </c>
      <c r="E15" s="40">
        <f>SUM(B15:D15)</f>
        <v/>
      </c>
    </row>
    <row r="16">
      <c r="A16" s="21" t="n"/>
      <c r="B16" s="21" t="n"/>
      <c r="C16" s="21" t="n"/>
      <c r="D16" s="21" t="n"/>
      <c r="E16" s="21" t="n"/>
    </row>
    <row r="17">
      <c r="A17" s="27" t="inlineStr">
        <is>
          <t>【財務活動によるCF】</t>
        </is>
      </c>
      <c r="B17" s="78" t="n"/>
      <c r="C17" s="78" t="n"/>
      <c r="D17" s="78" t="n"/>
      <c r="E17" s="79" t="n"/>
    </row>
    <row r="18">
      <c r="A18" s="5" t="inlineStr">
        <is>
          <t xml:space="preserve">  (+) 増資・資本調達</t>
        </is>
      </c>
      <c r="B18" s="28">
        <f>前提条件!B41</f>
        <v/>
      </c>
      <c r="C18" s="28">
        <f>前提条件!C41</f>
        <v/>
      </c>
      <c r="D18" s="28">
        <f>前提条件!D41</f>
        <v/>
      </c>
      <c r="E18" s="29">
        <f>SUM(B18:D18)</f>
        <v/>
      </c>
    </row>
    <row r="19">
      <c r="A19" s="36" t="inlineStr">
        <is>
          <t xml:space="preserve">  (+) 政策公庫 借入金 新規調達</t>
        </is>
      </c>
      <c r="B19" s="37">
        <f>前提条件!B50</f>
        <v/>
      </c>
      <c r="C19" s="37">
        <f>前提条件!C50</f>
        <v/>
      </c>
      <c r="D19" s="37">
        <f>前提条件!D50</f>
        <v/>
      </c>
      <c r="E19" s="37">
        <f>SUM(B19:D19)</f>
        <v/>
      </c>
    </row>
    <row r="20">
      <c r="A20" s="36" t="inlineStr">
        <is>
          <t xml:space="preserve">  (-) 政策公庫 元本返済</t>
        </is>
      </c>
      <c r="B20" s="37">
        <f>-ROUND(前提条件!B55,0)</f>
        <v/>
      </c>
      <c r="C20" s="37">
        <f>-ROUND(前提条件!C55,0)</f>
        <v/>
      </c>
      <c r="D20" s="37">
        <f>-ROUND(前提条件!D55,0)</f>
        <v/>
      </c>
      <c r="E20" s="37">
        <f>SUM(B20:D20)</f>
        <v/>
      </c>
    </row>
    <row r="21">
      <c r="A21" s="36" t="inlineStr">
        <is>
          <t xml:space="preserve">  (-) 支払利息（政策公庫 年2.0%）</t>
        </is>
      </c>
      <c r="B21" s="37">
        <f>-ROUND(前提条件!B54,0)</f>
        <v/>
      </c>
      <c r="C21" s="37">
        <f>-ROUND(前提条件!C54,0)</f>
        <v/>
      </c>
      <c r="D21" s="37">
        <f>-ROUND(前提条件!D54,0)</f>
        <v/>
      </c>
      <c r="E21" s="37">
        <f>SUM(B21:D21)</f>
        <v/>
      </c>
    </row>
    <row r="22">
      <c r="A22" s="7" t="inlineStr">
        <is>
          <t>財務活動CF 合計</t>
        </is>
      </c>
      <c r="B22" s="33">
        <f>SUM(B18:B21)</f>
        <v/>
      </c>
      <c r="C22" s="33">
        <f>SUM(C18:C21)</f>
        <v/>
      </c>
      <c r="D22" s="33">
        <f>SUM(D18:D21)</f>
        <v/>
      </c>
      <c r="E22" s="33">
        <f>SUM(B22:D22)</f>
        <v/>
      </c>
    </row>
    <row r="23">
      <c r="A23" s="5" t="inlineStr"/>
      <c r="B23" s="78" t="n"/>
      <c r="C23" s="78" t="n"/>
      <c r="D23" s="78" t="n"/>
      <c r="E23" s="79" t="n"/>
    </row>
    <row r="24">
      <c r="A24" s="9" t="inlineStr">
        <is>
          <t>当期CF合計（純増減）</t>
        </is>
      </c>
      <c r="B24" s="30">
        <f>B11+B15+B22</f>
        <v/>
      </c>
      <c r="C24" s="30">
        <f>C11+C15+C22</f>
        <v/>
      </c>
      <c r="D24" s="30">
        <f>D11+D15+D22</f>
        <v/>
      </c>
      <c r="E24" s="30">
        <f>SUM(B24:D24)</f>
        <v/>
      </c>
    </row>
    <row r="25">
      <c r="A25" s="5" t="inlineStr">
        <is>
          <t>期首現金残高</t>
        </is>
      </c>
      <c r="B25" s="28" t="n">
        <v>2000</v>
      </c>
      <c r="C25" s="28">
        <f>B26</f>
        <v/>
      </c>
      <c r="D25" s="28">
        <f>C26</f>
        <v/>
      </c>
      <c r="E25" s="28">
        <f>B25</f>
        <v/>
      </c>
    </row>
    <row r="26">
      <c r="A26" s="34" t="inlineStr">
        <is>
          <t>期末現金残高</t>
        </is>
      </c>
      <c r="B26" s="35">
        <f>B25+B24</f>
        <v/>
      </c>
      <c r="C26" s="35">
        <f>C25+C24</f>
        <v/>
      </c>
      <c r="D26" s="35">
        <f>D25+D24</f>
        <v/>
      </c>
      <c r="E26" s="35">
        <f>D26</f>
        <v/>
      </c>
    </row>
    <row r="27">
      <c r="A27" s="17" t="inlineStr">
        <is>
          <t xml:space="preserve">  ✓ BS現金との差異（0が正常）</t>
        </is>
      </c>
      <c r="B27" s="39">
        <f>B26-BS（貸借対照表）!C5</f>
        <v/>
      </c>
      <c r="C27" s="39">
        <f>C26-BS（貸借対照表）!D5</f>
        <v/>
      </c>
      <c r="D27" s="39">
        <f>D26-BS（貸借対照表）!E5</f>
        <v/>
      </c>
      <c r="E27" s="21" t="n"/>
    </row>
  </sheetData>
  <mergeCells count="8">
    <mergeCell ref="A1:D1"/>
    <mergeCell ref="A4:E4"/>
    <mergeCell ref="A2:E2"/>
    <mergeCell ref="A1:E1"/>
    <mergeCell ref="A23:E23"/>
    <mergeCell ref="A2:D2"/>
    <mergeCell ref="A13:E13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13" customWidth="1" min="4" max="4"/>
    <col width="28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41" t="inlineStr">
        <is>
          <t>UNLID 感度分析——2変数同時変動による営業利益・売上への影響</t>
        </is>
      </c>
    </row>
    <row r="2">
      <c r="A2" s="2" t="inlineStr">
        <is>
          <t>【読み方】各マスの数値は「2つの変数がその値のとき、ターゲット指標がいくらになるか」。黄色セル＝現状ベースライン付近。</t>
        </is>
      </c>
    </row>
    <row r="4">
      <c r="A4" s="3" t="inlineStr">
        <is>
          <t>【分析①】Year2 営業利益マトリクス：縦＝Year1→2の売上成長倍率 ／ 横＝原価率（売上比）</t>
        </is>
      </c>
    </row>
    <row r="5">
      <c r="A5" s="42" t="inlineStr">
        <is>
          <t>Year1売上実績（万円）</t>
        </is>
      </c>
      <c r="B5" s="43">
        <f>PL（損益計算書）!B8</f>
        <v/>
      </c>
      <c r="D5" s="42" t="inlineStr">
        <is>
          <t>Year2 販管費固定額（万円）</t>
        </is>
      </c>
      <c r="E5" s="43">
        <f>PL（損益計算書）!C30</f>
        <v/>
      </c>
    </row>
    <row r="6">
      <c r="A6" s="11" t="inlineStr">
        <is>
          <t>→ 各マス の 営業利益 ＝ Year1売上 × 成長倍率 × (1－原価率) － Year2販管費固定額</t>
        </is>
      </c>
    </row>
    <row r="8">
      <c r="A8" s="4" t="inlineStr">
        <is>
          <t>成長倍率 \ 原価率</t>
        </is>
      </c>
      <c r="B8" s="44" t="n">
        <v>0.05</v>
      </c>
      <c r="C8" s="44" t="n">
        <v>0.07000000000000001</v>
      </c>
      <c r="D8" s="44" t="n">
        <v>0.08</v>
      </c>
      <c r="E8" s="44" t="n">
        <v>0.09</v>
      </c>
      <c r="F8" s="44" t="n">
        <v>0.1</v>
      </c>
      <c r="G8" s="44" t="n">
        <v>0.12</v>
      </c>
      <c r="H8" s="44" t="n">
        <v>0.15</v>
      </c>
    </row>
    <row r="9">
      <c r="A9" s="45" t="inlineStr">
        <is>
          <t>2.0x</t>
        </is>
      </c>
      <c r="B9" s="6">
        <f>$B$5*2.0*(1-B$8)-$E$5</f>
        <v/>
      </c>
      <c r="C9" s="6">
        <f>$B$5*2.0*(1-C$8)-$E$5</f>
        <v/>
      </c>
      <c r="D9" s="6">
        <f>$B$5*2.0*(1-D$8)-$E$5</f>
        <v/>
      </c>
      <c r="E9" s="6">
        <f>$B$5*2.0*(1-E$8)-$E$5</f>
        <v/>
      </c>
      <c r="F9" s="6">
        <f>$B$5*2.0*(1-F$8)-$E$5</f>
        <v/>
      </c>
      <c r="G9" s="6">
        <f>$B$5*2.0*(1-G$8)-$E$5</f>
        <v/>
      </c>
      <c r="H9" s="6">
        <f>$B$5*2.0*(1-H$8)-$E$5</f>
        <v/>
      </c>
    </row>
    <row r="10">
      <c r="A10" s="46" t="inlineStr">
        <is>
          <t>3.0x</t>
        </is>
      </c>
      <c r="B10" s="6">
        <f>$B$5*3.0*(1-B$8)-$E$5</f>
        <v/>
      </c>
      <c r="C10" s="6">
        <f>$B$5*3.0*(1-C$8)-$E$5</f>
        <v/>
      </c>
      <c r="D10" s="6">
        <f>$B$5*3.0*(1-D$8)-$E$5</f>
        <v/>
      </c>
      <c r="E10" s="6">
        <f>$B$5*3.0*(1-E$8)-$E$5</f>
        <v/>
      </c>
      <c r="F10" s="6">
        <f>$B$5*3.0*(1-F$8)-$E$5</f>
        <v/>
      </c>
      <c r="G10" s="6">
        <f>$B$5*3.0*(1-G$8)-$E$5</f>
        <v/>
      </c>
      <c r="H10" s="6">
        <f>$B$5*3.0*(1-H$8)-$E$5</f>
        <v/>
      </c>
    </row>
    <row r="11">
      <c r="A11" s="45" t="inlineStr">
        <is>
          <t>4.0x</t>
        </is>
      </c>
      <c r="B11" s="6">
        <f>$B$5*4.0*(1-B$8)-$E$5</f>
        <v/>
      </c>
      <c r="C11" s="6">
        <f>$B$5*4.0*(1-C$8)-$E$5</f>
        <v/>
      </c>
      <c r="D11" s="6">
        <f>$B$5*4.0*(1-D$8)-$E$5</f>
        <v/>
      </c>
      <c r="E11" s="6">
        <f>$B$5*4.0*(1-E$8)-$E$5</f>
        <v/>
      </c>
      <c r="F11" s="6">
        <f>$B$5*4.0*(1-F$8)-$E$5</f>
        <v/>
      </c>
      <c r="G11" s="6">
        <f>$B$5*4.0*(1-G$8)-$E$5</f>
        <v/>
      </c>
      <c r="H11" s="6">
        <f>$B$5*4.0*(1-H$8)-$E$5</f>
        <v/>
      </c>
    </row>
    <row r="12">
      <c r="A12" s="46" t="inlineStr">
        <is>
          <t>5.0x</t>
        </is>
      </c>
      <c r="B12" s="6">
        <f>$B$5*5.0*(1-B$8)-$E$5</f>
        <v/>
      </c>
      <c r="C12" s="47">
        <f>$B$5*5.0*(1-C$8)-$E$5</f>
        <v/>
      </c>
      <c r="D12" s="47">
        <f>$B$5*5.0*(1-D$8)-$E$5</f>
        <v/>
      </c>
      <c r="E12" s="47">
        <f>$B$5*5.0*(1-E$8)-$E$5</f>
        <v/>
      </c>
      <c r="F12" s="6">
        <f>$B$5*5.0*(1-F$8)-$E$5</f>
        <v/>
      </c>
      <c r="G12" s="6">
        <f>$B$5*5.0*(1-G$8)-$E$5</f>
        <v/>
      </c>
      <c r="H12" s="6">
        <f>$B$5*5.0*(1-H$8)-$E$5</f>
        <v/>
      </c>
    </row>
    <row r="13">
      <c r="A13" s="45" t="inlineStr">
        <is>
          <t>6.0x</t>
        </is>
      </c>
      <c r="B13" s="6">
        <f>$B$5*6.0*(1-B$8)-$E$5</f>
        <v/>
      </c>
      <c r="C13" s="6">
        <f>$B$5*6.0*(1-C$8)-$E$5</f>
        <v/>
      </c>
      <c r="D13" s="6">
        <f>$B$5*6.0*(1-D$8)-$E$5</f>
        <v/>
      </c>
      <c r="E13" s="6">
        <f>$B$5*6.0*(1-E$8)-$E$5</f>
        <v/>
      </c>
      <c r="F13" s="6">
        <f>$B$5*6.0*(1-F$8)-$E$5</f>
        <v/>
      </c>
      <c r="G13" s="6">
        <f>$B$5*6.0*(1-G$8)-$E$5</f>
        <v/>
      </c>
      <c r="H13" s="6">
        <f>$B$5*6.0*(1-H$8)-$E$5</f>
        <v/>
      </c>
    </row>
    <row r="14">
      <c r="A14" s="46" t="inlineStr">
        <is>
          <t>7.0x</t>
        </is>
      </c>
      <c r="B14" s="6">
        <f>$B$5*7.0*(1-B$8)-$E$5</f>
        <v/>
      </c>
      <c r="C14" s="6">
        <f>$B$5*7.0*(1-C$8)-$E$5</f>
        <v/>
      </c>
      <c r="D14" s="6">
        <f>$B$5*7.0*(1-D$8)-$E$5</f>
        <v/>
      </c>
      <c r="E14" s="6">
        <f>$B$5*7.0*(1-E$8)-$E$5</f>
        <v/>
      </c>
      <c r="F14" s="6">
        <f>$B$5*7.0*(1-F$8)-$E$5</f>
        <v/>
      </c>
      <c r="G14" s="6">
        <f>$B$5*7.0*(1-G$8)-$E$5</f>
        <v/>
      </c>
      <c r="H14" s="6">
        <f>$B$5*7.0*(1-H$8)-$E$5</f>
        <v/>
      </c>
    </row>
    <row r="15">
      <c r="A15" s="45" t="inlineStr">
        <is>
          <t>8.0x</t>
        </is>
      </c>
      <c r="B15" s="6">
        <f>$B$5*8.0*(1-B$8)-$E$5</f>
        <v/>
      </c>
      <c r="C15" s="6">
        <f>$B$5*8.0*(1-C$8)-$E$5</f>
        <v/>
      </c>
      <c r="D15" s="6">
        <f>$B$5*8.0*(1-D$8)-$E$5</f>
        <v/>
      </c>
      <c r="E15" s="6">
        <f>$B$5*8.0*(1-E$8)-$E$5</f>
        <v/>
      </c>
      <c r="F15" s="6">
        <f>$B$5*8.0*(1-F$8)-$E$5</f>
        <v/>
      </c>
      <c r="G15" s="6">
        <f>$B$5*8.0*(1-G$8)-$E$5</f>
        <v/>
      </c>
      <c r="H15" s="6">
        <f>$B$5*8.0*(1-H$8)-$E$5</f>
        <v/>
      </c>
    </row>
    <row r="16">
      <c r="A16" s="46" t="inlineStr">
        <is>
          <t>10.0x</t>
        </is>
      </c>
      <c r="B16" s="6">
        <f>$B$5*10.0*(1-B$8)-$E$5</f>
        <v/>
      </c>
      <c r="C16" s="6">
        <f>$B$5*10.0*(1-C$8)-$E$5</f>
        <v/>
      </c>
      <c r="D16" s="6">
        <f>$B$5*10.0*(1-D$8)-$E$5</f>
        <v/>
      </c>
      <c r="E16" s="6">
        <f>$B$5*10.0*(1-E$8)-$E$5</f>
        <v/>
      </c>
      <c r="F16" s="6">
        <f>$B$5*10.0*(1-F$8)-$E$5</f>
        <v/>
      </c>
      <c r="G16" s="6">
        <f>$B$5*10.0*(1-G$8)-$E$5</f>
        <v/>
      </c>
      <c r="H16" s="6">
        <f>$B$5*10.0*(1-H$8)-$E$5</f>
        <v/>
      </c>
    </row>
    <row r="18">
      <c r="A18" s="11" t="inlineStr">
        <is>
          <t>※ 現状ベース：成長倍率≒6x（Year1:2,820万→Year2:17,400万想定）、原価率≒8%（ワーカー報酬率）</t>
        </is>
      </c>
    </row>
    <row r="19">
      <c r="A19" s="11" t="inlineStr">
        <is>
          <t>※ 原価率が低いほど、かつ売上成長率が高いほど営業利益が大きくなる。赤字（負値）エリアは成長率が低く・原価率が高い左下ゾーン。</t>
        </is>
      </c>
    </row>
    <row r="22">
      <c r="A22" s="3" t="inlineStr">
        <is>
          <t>【分析②】Year2 売上マトリクス：縦＝B2B契約社数（社）／ 横＝FDE月額単価（万円/社）</t>
        </is>
      </c>
    </row>
    <row r="23">
      <c r="A23" s="42" t="inlineStr">
        <is>
          <t>人材紹介フィー（Year2固定）（万円）</t>
        </is>
      </c>
      <c r="B23" s="43">
        <f>PL（損益計算書）!C6</f>
        <v/>
      </c>
      <c r="D23" s="42" t="inlineStr">
        <is>
          <t>プロジェクト収益（Year2固定）（万円）</t>
        </is>
      </c>
      <c r="E23" s="43">
        <f>PL（損益計算書）!C7</f>
        <v/>
      </c>
    </row>
    <row r="24">
      <c r="A24" s="11" t="inlineStr">
        <is>
          <t>→ 各マスの売上 ＝ 社数 × 月額単価 × 12 ＋ 人材紹介フィー ＋ プロジェクト収益</t>
        </is>
      </c>
    </row>
    <row r="26">
      <c r="A26" s="4" t="inlineStr">
        <is>
          <t>社数 \ 月額単価（万円）</t>
        </is>
      </c>
      <c r="B26" s="48" t="n">
        <v>15</v>
      </c>
      <c r="C26" s="48" t="n">
        <v>18</v>
      </c>
      <c r="D26" s="48" t="n">
        <v>20</v>
      </c>
      <c r="E26" s="48" t="n">
        <v>22</v>
      </c>
      <c r="F26" s="48" t="n">
        <v>23</v>
      </c>
      <c r="G26" s="48" t="n">
        <v>25</v>
      </c>
      <c r="H26" s="48" t="n">
        <v>28</v>
      </c>
      <c r="I26" s="48" t="n">
        <v>30</v>
      </c>
    </row>
    <row r="27">
      <c r="A27" s="45" t="n">
        <v>20</v>
      </c>
      <c r="B27" s="6">
        <f>20*15*12+$B$23+$E$23</f>
        <v/>
      </c>
      <c r="C27" s="6">
        <f>20*18*12+$B$23+$E$23</f>
        <v/>
      </c>
      <c r="D27" s="6">
        <f>20*20*12+$B$23+$E$23</f>
        <v/>
      </c>
      <c r="E27" s="6">
        <f>20*22*12+$B$23+$E$23</f>
        <v/>
      </c>
      <c r="F27" s="6">
        <f>20*23*12+$B$23+$E$23</f>
        <v/>
      </c>
      <c r="G27" s="6">
        <f>20*25*12+$B$23+$E$23</f>
        <v/>
      </c>
      <c r="H27" s="6">
        <f>20*28*12+$B$23+$E$23</f>
        <v/>
      </c>
      <c r="I27" s="6">
        <f>20*30*12+$B$23+$E$23</f>
        <v/>
      </c>
    </row>
    <row r="28">
      <c r="A28" s="46" t="n">
        <v>30</v>
      </c>
      <c r="B28" s="6">
        <f>30*15*12+$B$23+$E$23</f>
        <v/>
      </c>
      <c r="C28" s="6">
        <f>30*18*12+$B$23+$E$23</f>
        <v/>
      </c>
      <c r="D28" s="6">
        <f>30*20*12+$B$23+$E$23</f>
        <v/>
      </c>
      <c r="E28" s="6">
        <f>30*22*12+$B$23+$E$23</f>
        <v/>
      </c>
      <c r="F28" s="6">
        <f>30*23*12+$B$23+$E$23</f>
        <v/>
      </c>
      <c r="G28" s="6">
        <f>30*25*12+$B$23+$E$23</f>
        <v/>
      </c>
      <c r="H28" s="6">
        <f>30*28*12+$B$23+$E$23</f>
        <v/>
      </c>
      <c r="I28" s="6">
        <f>30*30*12+$B$23+$E$23</f>
        <v/>
      </c>
    </row>
    <row r="29">
      <c r="A29" s="45" t="n">
        <v>40</v>
      </c>
      <c r="B29" s="6">
        <f>40*15*12+$B$23+$E$23</f>
        <v/>
      </c>
      <c r="C29" s="6">
        <f>40*18*12+$B$23+$E$23</f>
        <v/>
      </c>
      <c r="D29" s="6">
        <f>40*20*12+$B$23+$E$23</f>
        <v/>
      </c>
      <c r="E29" s="6">
        <f>40*22*12+$B$23+$E$23</f>
        <v/>
      </c>
      <c r="F29" s="6">
        <f>40*23*12+$B$23+$E$23</f>
        <v/>
      </c>
      <c r="G29" s="6">
        <f>40*25*12+$B$23+$E$23</f>
        <v/>
      </c>
      <c r="H29" s="6">
        <f>40*28*12+$B$23+$E$23</f>
        <v/>
      </c>
      <c r="I29" s="6">
        <f>40*30*12+$B$23+$E$23</f>
        <v/>
      </c>
    </row>
    <row r="30">
      <c r="A30" s="46" t="n">
        <v>50</v>
      </c>
      <c r="B30" s="6">
        <f>50*15*12+$B$23+$E$23</f>
        <v/>
      </c>
      <c r="C30" s="6">
        <f>50*18*12+$B$23+$E$23</f>
        <v/>
      </c>
      <c r="D30" s="6">
        <f>50*20*12+$B$23+$E$23</f>
        <v/>
      </c>
      <c r="E30" s="6">
        <f>50*22*12+$B$23+$E$23</f>
        <v/>
      </c>
      <c r="F30" s="47">
        <f>50*23*12+$B$23+$E$23</f>
        <v/>
      </c>
      <c r="G30" s="6">
        <f>50*25*12+$B$23+$E$23</f>
        <v/>
      </c>
      <c r="H30" s="6">
        <f>50*28*12+$B$23+$E$23</f>
        <v/>
      </c>
      <c r="I30" s="6">
        <f>50*30*12+$B$23+$E$23</f>
        <v/>
      </c>
    </row>
    <row r="31">
      <c r="A31" s="45" t="n">
        <v>60</v>
      </c>
      <c r="B31" s="6">
        <f>60*15*12+$B$23+$E$23</f>
        <v/>
      </c>
      <c r="C31" s="6">
        <f>60*18*12+$B$23+$E$23</f>
        <v/>
      </c>
      <c r="D31" s="6">
        <f>60*20*12+$B$23+$E$23</f>
        <v/>
      </c>
      <c r="E31" s="6">
        <f>60*22*12+$B$23+$E$23</f>
        <v/>
      </c>
      <c r="F31" s="6">
        <f>60*23*12+$B$23+$E$23</f>
        <v/>
      </c>
      <c r="G31" s="6">
        <f>60*25*12+$B$23+$E$23</f>
        <v/>
      </c>
      <c r="H31" s="6">
        <f>60*28*12+$B$23+$E$23</f>
        <v/>
      </c>
      <c r="I31" s="6">
        <f>60*30*12+$B$23+$E$23</f>
        <v/>
      </c>
    </row>
    <row r="32">
      <c r="A32" s="46" t="n">
        <v>70</v>
      </c>
      <c r="B32" s="6">
        <f>70*15*12+$B$23+$E$23</f>
        <v/>
      </c>
      <c r="C32" s="6">
        <f>70*18*12+$B$23+$E$23</f>
        <v/>
      </c>
      <c r="D32" s="6">
        <f>70*20*12+$B$23+$E$23</f>
        <v/>
      </c>
      <c r="E32" s="6">
        <f>70*22*12+$B$23+$E$23</f>
        <v/>
      </c>
      <c r="F32" s="6">
        <f>70*23*12+$B$23+$E$23</f>
        <v/>
      </c>
      <c r="G32" s="6">
        <f>70*25*12+$B$23+$E$23</f>
        <v/>
      </c>
      <c r="H32" s="6">
        <f>70*28*12+$B$23+$E$23</f>
        <v/>
      </c>
      <c r="I32" s="6">
        <f>70*30*12+$B$23+$E$23</f>
        <v/>
      </c>
    </row>
    <row r="33">
      <c r="A33" s="45" t="n">
        <v>80</v>
      </c>
      <c r="B33" s="6">
        <f>80*15*12+$B$23+$E$23</f>
        <v/>
      </c>
      <c r="C33" s="6">
        <f>80*18*12+$B$23+$E$23</f>
        <v/>
      </c>
      <c r="D33" s="6">
        <f>80*20*12+$B$23+$E$23</f>
        <v/>
      </c>
      <c r="E33" s="6">
        <f>80*22*12+$B$23+$E$23</f>
        <v/>
      </c>
      <c r="F33" s="6">
        <f>80*23*12+$B$23+$E$23</f>
        <v/>
      </c>
      <c r="G33" s="6">
        <f>80*25*12+$B$23+$E$23</f>
        <v/>
      </c>
      <c r="H33" s="6">
        <f>80*28*12+$B$23+$E$23</f>
        <v/>
      </c>
      <c r="I33" s="6">
        <f>80*30*12+$B$23+$E$23</f>
        <v/>
      </c>
    </row>
    <row r="34">
      <c r="A34" s="11" t="inlineStr">
        <is>
          <t>※ ★マス（50社×18万）がベースラインのYear2予測値。右上に行くほど売上が大きくなる。</t>
        </is>
      </c>
    </row>
    <row r="38">
      <c r="A38" s="3" t="inlineStr">
        <is>
          <t>【分析③】3シナリオ比較（楽観 / ベース / 保守）</t>
        </is>
      </c>
    </row>
    <row r="39">
      <c r="A39" s="49" t="inlineStr">
        <is>
          <t>3シナリオ説明：</t>
        </is>
      </c>
    </row>
    <row r="40">
      <c r="A40" s="11" t="inlineStr">
        <is>
          <t>楽観：B2B社数・月単価×1.3倍。保守：B2B社数0.7倍・月単価据置。ベース：前提条件シートの値。</t>
        </is>
      </c>
    </row>
    <row r="41">
      <c r="A41" s="4" t="inlineStr">
        <is>
          <t>シナリオ</t>
        </is>
      </c>
      <c r="B41" s="4" t="inlineStr">
        <is>
          <t>Year1売上</t>
        </is>
      </c>
      <c r="C41" s="4" t="inlineStr">
        <is>
          <t>Year1営業利益</t>
        </is>
      </c>
      <c r="D41" s="4" t="inlineStr">
        <is>
          <t>Year2売上</t>
        </is>
      </c>
      <c r="E41" s="4" t="inlineStr">
        <is>
          <t>Year2営業利益</t>
        </is>
      </c>
      <c r="F41" s="4" t="inlineStr">
        <is>
          <t>Year3売上</t>
        </is>
      </c>
      <c r="G41" s="4" t="inlineStr">
        <is>
          <t>Year3営業利益</t>
        </is>
      </c>
      <c r="H41" s="4" t="inlineStr">
        <is>
          <t>3年累計純利益</t>
        </is>
      </c>
    </row>
    <row r="42">
      <c r="A42" s="34" t="inlineStr">
        <is>
          <t>楽観（Upside）</t>
        </is>
      </c>
      <c r="B42" s="50" t="n">
        <v>3666</v>
      </c>
      <c r="C42" s="50" t="n">
        <v>810</v>
      </c>
      <c r="D42" s="50" t="n">
        <v>24360</v>
      </c>
      <c r="E42" s="50" t="n">
        <v>11050</v>
      </c>
      <c r="F42" s="50" t="n">
        <v>74620</v>
      </c>
      <c r="G42" s="50" t="n">
        <v>36000</v>
      </c>
      <c r="H42" s="50" t="n">
        <v>18900</v>
      </c>
    </row>
    <row r="43">
      <c r="A43" s="9" t="inlineStr">
        <is>
          <t>ベース（中央値）</t>
        </is>
      </c>
      <c r="B43" s="10">
        <f>PL（損益計算書）!B8</f>
        <v/>
      </c>
      <c r="C43" s="10">
        <f>PL（損益計算書）!B33</f>
        <v/>
      </c>
      <c r="D43" s="10">
        <f>PL（損益計算書）!C8</f>
        <v/>
      </c>
      <c r="E43" s="10">
        <f>PL（損益計算書）!C33</f>
        <v/>
      </c>
      <c r="F43" s="10">
        <f>PL（損益計算書）!D8</f>
        <v/>
      </c>
      <c r="G43" s="10">
        <f>PL（損益計算書）!D33</f>
        <v/>
      </c>
      <c r="H43" s="10">
        <f>PL（損益計算書）!E42</f>
        <v/>
      </c>
    </row>
    <row r="44">
      <c r="A44" s="22" t="inlineStr">
        <is>
          <t>保守（Downside）</t>
        </is>
      </c>
      <c r="B44" s="23" t="n">
        <v>1974</v>
      </c>
      <c r="C44" s="23" t="n">
        <v>-420</v>
      </c>
      <c r="D44" s="23" t="n">
        <v>8700</v>
      </c>
      <c r="E44" s="23" t="n">
        <v>1300</v>
      </c>
      <c r="F44" s="23" t="n">
        <v>31570</v>
      </c>
      <c r="G44" s="23" t="n">
        <v>8400</v>
      </c>
      <c r="H44" s="23" t="n">
        <v>4410</v>
      </c>
    </row>
    <row r="50">
      <c r="A50" s="3" t="inlineStr">
        <is>
          <t>【分析④】FDE雇用形態別ユニットエコノミクス（1FDE×6社掛け持ち）</t>
        </is>
      </c>
    </row>
    <row r="51">
      <c r="A51" s="11" t="inlineStr">
        <is>
          <t>FDE1名が6社（各月20万円）を担当した場合の粗利・採用費回収試算</t>
        </is>
      </c>
    </row>
    <row r="52">
      <c r="A52" s="4" t="inlineStr">
        <is>
          <t>フェーズ</t>
        </is>
      </c>
      <c r="B52" s="4" t="inlineStr">
        <is>
          <t>FDE形態</t>
        </is>
      </c>
      <c r="C52" s="4" t="inlineStr">
        <is>
          <t>月商(6社)</t>
        </is>
      </c>
      <c r="D52" s="4" t="inlineStr">
        <is>
          <t>FDEコスト</t>
        </is>
      </c>
      <c r="E52" s="4" t="inlineStr">
        <is>
          <t>月次粗利</t>
        </is>
      </c>
      <c r="F52" s="4" t="inlineStr">
        <is>
          <t>粗利率</t>
        </is>
      </c>
      <c r="G52" s="4" t="inlineStr">
        <is>
          <t>採用費</t>
        </is>
      </c>
      <c r="H52" s="4" t="inlineStr">
        <is>
          <t>採用費回収月数</t>
        </is>
      </c>
    </row>
    <row r="53">
      <c r="A53" s="34" t="inlineStr">
        <is>
          <t>Ph0（創業者本人）</t>
        </is>
      </c>
      <c r="B53" s="51" t="inlineStr">
        <is>
          <t>創業者＝FDE</t>
        </is>
      </c>
      <c r="C53" s="52" t="n">
        <v>120</v>
      </c>
      <c r="D53" s="52" t="n">
        <v>0</v>
      </c>
      <c r="E53" s="50" t="n">
        <v>120</v>
      </c>
      <c r="F53" s="53" t="inlineStr">
        <is>
          <t>100.0%</t>
        </is>
      </c>
      <c r="G53" s="52" t="n">
        <v>0</v>
      </c>
      <c r="H53" s="53" t="inlineStr">
        <is>
          <t>不要</t>
        </is>
      </c>
    </row>
    <row r="54">
      <c r="A54" s="54" t="inlineStr">
        <is>
          <t>Ph1（副業FDE・業務委託）</t>
        </is>
      </c>
      <c r="B54" s="36" t="inlineStr">
        <is>
          <t>業務委託（変動費）</t>
        </is>
      </c>
      <c r="C54" s="55" t="n">
        <v>120</v>
      </c>
      <c r="D54" s="55" t="n">
        <v>25</v>
      </c>
      <c r="E54" s="56" t="n">
        <v>95</v>
      </c>
      <c r="F54" s="57" t="inlineStr">
        <is>
          <t>79.2%</t>
        </is>
      </c>
      <c r="G54" s="55" t="n">
        <v>0</v>
      </c>
      <c r="H54" s="57" t="inlineStr">
        <is>
          <t>不要（業務委託）</t>
        </is>
      </c>
    </row>
    <row r="55">
      <c r="A55" s="54" t="inlineStr">
        <is>
          <t>Ph1（副業FDE・高単価）</t>
        </is>
      </c>
      <c r="B55" s="36" t="inlineStr">
        <is>
          <t>業務委託（単価23万）</t>
        </is>
      </c>
      <c r="C55" s="55" t="n">
        <v>138</v>
      </c>
      <c r="D55" s="55" t="n">
        <v>25</v>
      </c>
      <c r="E55" s="56" t="n">
        <v>113</v>
      </c>
      <c r="F55" s="57" t="inlineStr">
        <is>
          <t>81.9%</t>
        </is>
      </c>
      <c r="G55" s="55" t="n">
        <v>0</v>
      </c>
      <c r="H55" s="57" t="inlineStr">
        <is>
          <t>不要（業務委託）</t>
        </is>
      </c>
    </row>
    <row r="56">
      <c r="A56" s="9" t="inlineStr">
        <is>
          <t>Ph2（正社員FDE・内部登用）</t>
        </is>
      </c>
      <c r="B56" s="58" t="inlineStr">
        <is>
          <t>正社員（内部登用）</t>
        </is>
      </c>
      <c r="C56" s="59" t="n">
        <v>120</v>
      </c>
      <c r="D56" s="59" t="n">
        <v>42</v>
      </c>
      <c r="E56" s="10" t="n">
        <v>78</v>
      </c>
      <c r="F56" s="60" t="inlineStr">
        <is>
          <t>65.0%</t>
        </is>
      </c>
      <c r="G56" s="59" t="n">
        <v>0</v>
      </c>
      <c r="H56" s="60" t="inlineStr">
        <is>
          <t>不要（内部登用）</t>
        </is>
      </c>
    </row>
    <row r="57">
      <c r="A57" s="22" t="inlineStr">
        <is>
          <t>Ph2（正社員FDE・外部採用）</t>
        </is>
      </c>
      <c r="B57" s="61" t="inlineStr">
        <is>
          <t>正社員（外部採用）</t>
        </is>
      </c>
      <c r="C57" s="62" t="n">
        <v>120</v>
      </c>
      <c r="D57" s="62" t="n">
        <v>45</v>
      </c>
      <c r="E57" s="23" t="n">
        <v>75</v>
      </c>
      <c r="F57" s="63" t="inlineStr">
        <is>
          <t>62.5%</t>
        </is>
      </c>
      <c r="G57" s="62" t="n">
        <v>100</v>
      </c>
      <c r="H57" s="63" t="inlineStr">
        <is>
          <t>約1.3ヶ月</t>
        </is>
      </c>
    </row>
    <row r="58">
      <c r="A58" s="11" t="inlineStr">
        <is>
          <t>※ 推奨戦略：Ph0=創業者FDE→Ph1=副業業務委託FDE（変動費化）→Ph2=実績ある副業FDEを内部登用（採用費ゼロ）。外部採用による正社員FDEは人材紹介フィー（140万/件×3件=420万）収入で後払い的に回収できる。</t>
        </is>
      </c>
    </row>
    <row r="60">
      <c r="A60" s="3" t="inlineStr">
        <is>
          <t>【分析⑤】SME単価市場調査——業務別支払意欲とUNLID価格ポジショニング</t>
        </is>
      </c>
    </row>
    <row r="61">
      <c r="A61" s="11" t="inlineStr">
        <is>
          <t>市場調査（2024〜2025年最新データ）に基づくSMEの業務別アウトソーシング単価相場</t>
        </is>
      </c>
    </row>
    <row r="62">
      <c r="A62" s="4" t="inlineStr">
        <is>
          <t>業務カテゴリ</t>
        </is>
      </c>
      <c r="B62" s="4" t="inlineStr">
        <is>
          <t>市場相場（月額）</t>
        </is>
      </c>
      <c r="C62" s="4" t="inlineStr">
        <is>
          <t>主要事業者例</t>
        </is>
      </c>
      <c r="D62" s="4" t="inlineStr">
        <is>
          <t>SMEの支払意欲</t>
        </is>
      </c>
      <c r="E62" s="4" t="inlineStr">
        <is>
          <t>出典</t>
        </is>
      </c>
    </row>
    <row r="63">
      <c r="A63" s="5" t="inlineStr">
        <is>
          <t>経理・バックオフィスBPO</t>
        </is>
      </c>
      <c r="B63" s="64" t="inlineStr">
        <is>
          <t>月3〜15万円</t>
        </is>
      </c>
      <c r="C63" s="5" t="inlineStr">
        <is>
          <t>キャスター（5.5万〜）・フジ子さん（5〜12万）</t>
        </is>
      </c>
      <c r="D63" s="5" t="inlineStr">
        <is>
          <t>高い（痛みが明確・即効性あり）</t>
        </is>
      </c>
      <c r="E63" s="13" t="inlineStr">
        <is>
          <t>各社公開料金（2025年）</t>
        </is>
      </c>
    </row>
    <row r="64">
      <c r="A64" s="5" t="inlineStr">
        <is>
          <t>採用支援・HRコンサル（中小向け）</t>
        </is>
      </c>
      <c r="B64" s="64" t="inlineStr">
        <is>
          <t>月10〜25万円</t>
        </is>
      </c>
      <c r="C64" s="5" t="inlineStr">
        <is>
          <t>エン・ジャパン人事のミカタ等</t>
        </is>
      </c>
      <c r="D64" s="5" t="inlineStr">
        <is>
          <t>高い（採用費削減効果が見える）</t>
        </is>
      </c>
      <c r="E64" s="13" t="inlineStr">
        <is>
          <t>帝国データバンク「HR支出調査」2024</t>
        </is>
      </c>
    </row>
    <row r="65">
      <c r="A65" s="5" t="inlineStr">
        <is>
          <t>IT・DX推進支援（顧問）</t>
        </is>
      </c>
      <c r="B65" s="64" t="inlineStr">
        <is>
          <t>月10〜30万円</t>
        </is>
      </c>
      <c r="C65" s="5" t="inlineStr">
        <is>
          <t>中小企業庁IT専門家派遣事業</t>
        </is>
      </c>
      <c r="D65" s="5" t="inlineStr">
        <is>
          <t>中程度（ROIが見えにくい）</t>
        </is>
      </c>
      <c r="E65" s="13" t="inlineStr">
        <is>
          <t>中小企業庁「IT活用支援実績」2025</t>
        </is>
      </c>
    </row>
    <row r="66">
      <c r="A66" s="5" t="inlineStr">
        <is>
          <t>マーケティング・SNS代行</t>
        </is>
      </c>
      <c r="B66" s="64" t="inlineStr">
        <is>
          <t>月10〜30万円</t>
        </is>
      </c>
      <c r="C66" s="5" t="inlineStr">
        <is>
          <t>各デジタルエージェンシー</t>
        </is>
      </c>
      <c r="D66" s="5" t="inlineStr">
        <is>
          <t>中〜高（競合比較が容易）</t>
        </is>
      </c>
      <c r="E66" s="13" t="inlineStr">
        <is>
          <t>Web担当者Forum「デジタルマーケ支出調査」2024</t>
        </is>
      </c>
    </row>
    <row r="67">
      <c r="A67" s="5" t="inlineStr">
        <is>
          <t>外部CTO・技術顧問（週1〜2回）</t>
        </is>
      </c>
      <c r="B67" s="64" t="inlineStr">
        <is>
          <t>月30〜60万円</t>
        </is>
      </c>
      <c r="C67" s="5" t="inlineStr">
        <is>
          <t>サーキュレーション（25万〜）</t>
        </is>
      </c>
      <c r="D67" s="5" t="inlineStr">
        <is>
          <t>低〜中（単価が高い）</t>
        </is>
      </c>
      <c r="E67" s="13" t="inlineStr">
        <is>
          <t>各社公開料金（2024〜2025年）</t>
        </is>
      </c>
    </row>
    <row r="68">
      <c r="A68" s="34" t="inlineStr">
        <is>
          <t>★UNLIDフラクショナルFDE</t>
        </is>
      </c>
      <c r="B68" s="65" t="inlineStr">
        <is>
          <t>月20〜30万円</t>
        </is>
      </c>
      <c r="C68" s="51" t="inlineStr">
        <is>
          <t>AI実装＋副業若手育成＋完遂ログ</t>
        </is>
      </c>
      <c r="D68" s="34" t="inlineStr">
        <is>
          <t>高い（IT顧問より安く・ROIが明確）</t>
        </is>
      </c>
      <c r="E68" s="66" t="inlineStr">
        <is>
          <t>本資料ポジショニング（競合比較）</t>
        </is>
      </c>
    </row>
    <row r="70">
      <c r="A70" s="3" t="inlineStr">
        <is>
          <t>【分析⑥】人材紹介フィー（140万円/件）発生タイミング別 年間CF試算（Year1）</t>
        </is>
      </c>
    </row>
    <row r="71">
      <c r="A71" s="11" t="inlineStr">
        <is>
          <t>人材紹介フィーの発生月数（ラグ）によってYear1 CF / 黒字化月が大きく変わる</t>
        </is>
      </c>
    </row>
    <row r="72">
      <c r="A72" s="4" t="inlineStr">
        <is>
          <t>シナリオ</t>
        </is>
      </c>
      <c r="B72" s="4" t="inlineStr">
        <is>
          <t>紹介件数/年</t>
        </is>
      </c>
      <c r="C72" s="4" t="inlineStr">
        <is>
          <t>1件単価（万円）</t>
        </is>
      </c>
      <c r="D72" s="4" t="inlineStr">
        <is>
          <t>フィー合計（万円）</t>
        </is>
      </c>
      <c r="E72" s="4" t="inlineStr">
        <is>
          <t>B2B受託収益</t>
        </is>
      </c>
      <c r="F72" s="4" t="inlineStr">
        <is>
          <t>年間固定費</t>
        </is>
      </c>
      <c r="G72" s="4" t="inlineStr">
        <is>
          <t>年間営業CF</t>
        </is>
      </c>
      <c r="H72" s="4" t="inlineStr">
        <is>
          <t>判定</t>
        </is>
      </c>
    </row>
    <row r="73">
      <c r="A73" s="34" t="inlineStr">
        <is>
          <t>最速（Month6から成立）</t>
        </is>
      </c>
      <c r="B73" s="52" t="n">
        <v>5</v>
      </c>
      <c r="C73" s="52" t="n">
        <v>140</v>
      </c>
      <c r="D73" s="50" t="n">
        <v>700</v>
      </c>
      <c r="E73" s="52" t="n">
        <v>2400</v>
      </c>
      <c r="F73" s="52" t="n">
        <v>1500</v>
      </c>
      <c r="G73" s="50" t="n">
        <v>1600</v>
      </c>
      <c r="H73" s="65" t="inlineStr">
        <is>
          <t>黒字化Year1</t>
        </is>
      </c>
    </row>
    <row r="74">
      <c r="A74" s="9" t="inlineStr">
        <is>
          <t>ベース（Month9から成立）</t>
        </is>
      </c>
      <c r="B74" s="59" t="n">
        <v>3</v>
      </c>
      <c r="C74" s="59" t="n">
        <v>140</v>
      </c>
      <c r="D74" s="10" t="n">
        <v>420</v>
      </c>
      <c r="E74" s="59" t="n">
        <v>2400</v>
      </c>
      <c r="F74" s="59" t="n">
        <v>1500</v>
      </c>
      <c r="G74" s="10" t="n">
        <v>1320</v>
      </c>
      <c r="H74" s="67" t="inlineStr">
        <is>
          <t>黒字化Year1</t>
        </is>
      </c>
    </row>
    <row r="75">
      <c r="A75" s="22" t="inlineStr">
        <is>
          <t>保守（Month12以降）</t>
        </is>
      </c>
      <c r="B75" s="62" t="n">
        <v>1</v>
      </c>
      <c r="C75" s="62" t="n">
        <v>140</v>
      </c>
      <c r="D75" s="23" t="n">
        <v>140</v>
      </c>
      <c r="E75" s="62" t="n">
        <v>2400</v>
      </c>
      <c r="F75" s="62" t="n">
        <v>1500</v>
      </c>
      <c r="G75" s="23" t="n">
        <v>1040</v>
      </c>
      <c r="H75" s="68" t="inlineStr">
        <is>
          <t>ほぼ収支均衡</t>
        </is>
      </c>
    </row>
    <row r="76">
      <c r="A76" s="11" t="inlineStr">
        <is>
          <t>※ 人材紹介フィーはYear1に少なくとも3件成立を目標とする（レバレジーズ出身の創業者ネットワーク×完遂ログが実績証明）。初期クライアント5社からのスカウト採用が最速経路。B2Bと人材紹介の両輪でYear1黒字化を狙う。</t>
        </is>
      </c>
    </row>
    <row r="79">
      <c r="A79" s="3" t="inlineStr">
        <is>
          <t>【分析⑦】解約率（Churn Rate）感度分析——月次解約率の違いがグロス新規獲得目標に与える影響</t>
        </is>
      </c>
    </row>
    <row r="80">
      <c r="A80" s="11" t="inlineStr">
        <is>
          <t>ネット期末社数目標を固定した場合、月次解約率が上がるほどグロス新規獲得目標が増加する。Year2目標50社・Year3目標160社固定。</t>
        </is>
      </c>
    </row>
    <row r="81">
      <c r="A81" s="4" t="inlineStr">
        <is>
          <t>月次解約率</t>
        </is>
      </c>
      <c r="B81" s="4" t="inlineStr">
        <is>
          <t>年次解約率</t>
        </is>
      </c>
      <c r="C81" s="4" t="inlineStr">
        <is>
          <t>Y2 解約補填社数</t>
        </is>
      </c>
      <c r="D81" s="4" t="inlineStr">
        <is>
          <t>Y2 グロス新規獲得</t>
        </is>
      </c>
      <c r="E81" s="4" t="inlineStr">
        <is>
          <t>Y2 月次ペース</t>
        </is>
      </c>
      <c r="F81" s="4" t="inlineStr">
        <is>
          <t>Y3 解約補填社数</t>
        </is>
      </c>
      <c r="G81" s="4" t="inlineStr">
        <is>
          <t>Y3 グロス新規獲得</t>
        </is>
      </c>
      <c r="H81" s="4" t="inlineStr">
        <is>
          <t>Y3 月次ペース</t>
        </is>
      </c>
    </row>
    <row r="82">
      <c r="A82" s="64" t="inlineStr">
        <is>
          <t>1%</t>
        </is>
      </c>
      <c r="B82" s="12" t="n">
        <v>0.1136</v>
      </c>
      <c r="C82" s="16" t="n">
        <v>1.1</v>
      </c>
      <c r="D82" s="6" t="n">
        <v>41</v>
      </c>
      <c r="E82" s="16" t="n">
        <v>3.4</v>
      </c>
      <c r="F82" s="16" t="n">
        <v>5.7</v>
      </c>
      <c r="G82" s="6" t="n">
        <v>116</v>
      </c>
      <c r="H82" s="16" t="n">
        <v>9.699999999999999</v>
      </c>
    </row>
    <row r="83">
      <c r="A83" s="64" t="inlineStr">
        <is>
          <t>2%</t>
        </is>
      </c>
      <c r="B83" s="12" t="n">
        <v>0.2153</v>
      </c>
      <c r="C83" s="16" t="n">
        <v>2.2</v>
      </c>
      <c r="D83" s="6" t="n">
        <v>42</v>
      </c>
      <c r="E83" s="16" t="n">
        <v>3.5</v>
      </c>
      <c r="F83" s="16" t="n">
        <v>10.8</v>
      </c>
      <c r="G83" s="6" t="n">
        <v>121</v>
      </c>
      <c r="H83" s="16" t="n">
        <v>10.1</v>
      </c>
    </row>
    <row r="84">
      <c r="A84" s="64" t="inlineStr">
        <is>
          <t>3%</t>
        </is>
      </c>
      <c r="B84" s="12" t="n">
        <v>0.3062</v>
      </c>
      <c r="C84" s="16" t="n">
        <v>3.1</v>
      </c>
      <c r="D84" s="6" t="n">
        <v>43</v>
      </c>
      <c r="E84" s="16" t="n">
        <v>3.6</v>
      </c>
      <c r="F84" s="16" t="n">
        <v>15.3</v>
      </c>
      <c r="G84" s="6" t="n">
        <v>125</v>
      </c>
      <c r="H84" s="16" t="n">
        <v>10.4</v>
      </c>
    </row>
    <row r="85">
      <c r="A85" s="64" t="inlineStr">
        <is>
          <t>5%</t>
        </is>
      </c>
      <c r="B85" s="12" t="n">
        <v>0.4596</v>
      </c>
      <c r="C85" s="16" t="n">
        <v>4.6</v>
      </c>
      <c r="D85" s="6" t="n">
        <v>45</v>
      </c>
      <c r="E85" s="16" t="n">
        <v>3.8</v>
      </c>
      <c r="F85" s="16" t="n">
        <v>23</v>
      </c>
      <c r="G85" s="6" t="n">
        <v>133</v>
      </c>
      <c r="H85" s="16" t="n">
        <v>11.1</v>
      </c>
    </row>
    <row r="86">
      <c r="A86" s="64" t="inlineStr">
        <is>
          <t>7%</t>
        </is>
      </c>
      <c r="B86" s="12" t="n">
        <v>0.5814</v>
      </c>
      <c r="C86" s="16" t="n">
        <v>5.8</v>
      </c>
      <c r="D86" s="6" t="n">
        <v>46</v>
      </c>
      <c r="E86" s="16" t="n">
        <v>3.8</v>
      </c>
      <c r="F86" s="16" t="n">
        <v>29.1</v>
      </c>
      <c r="G86" s="6" t="n">
        <v>139</v>
      </c>
      <c r="H86" s="16" t="n">
        <v>11.6</v>
      </c>
    </row>
    <row r="88">
      <c r="A88" s="11" t="inlineStr">
        <is>
          <t>※ 月次解約率が3%を超えると、Year3グロス新規獲得目標が125社超/年（月10社+）に達する。「期末純増50社」の目標だけを追うと、解約補填が漏れて目標が実態より過少になる。</t>
        </is>
      </c>
    </row>
    <row r="91">
      <c r="A91" s="3" t="inlineStr">
        <is>
          <t>【分析⑧】期ズレ（タイムライン遅延）シナリオ——Year2売上達成が遅れた場合の現金ショートリスク</t>
        </is>
      </c>
    </row>
    <row r="92">
      <c r="A92" s="11" t="inlineStr">
        <is>
          <t>Year1年間固定費（人件費・インフラ・マーケ等）≒ 1,500万円。期初現金 = 2,500万円（増資2,000+借入500）想定。Year2目標達成が遅れると、その間の固定費が追加現金を消費する。</t>
        </is>
      </c>
    </row>
    <row r="93">
      <c r="A93" s="4" t="inlineStr">
        <is>
          <t>シナリオ</t>
        </is>
      </c>
      <c r="B93" s="4" t="inlineStr">
        <is>
          <t>Year2達成時期</t>
        </is>
      </c>
      <c r="C93" s="4" t="inlineStr">
        <is>
          <t>Year1固定費（万円）</t>
        </is>
      </c>
      <c r="D93" s="4" t="inlineStr">
        <is>
          <t>追加固定費負担（万円）</t>
        </is>
      </c>
      <c r="E93" s="4" t="inlineStr">
        <is>
          <t>追加調達必要額（万円）</t>
        </is>
      </c>
      <c r="F93" s="4" t="inlineStr">
        <is>
          <t>期初現金残（万円）</t>
        </is>
      </c>
      <c r="G93" s="4" t="inlineStr">
        <is>
          <t>現金ショート月</t>
        </is>
      </c>
      <c r="H93" s="4" t="inlineStr">
        <is>
          <t>対応策</t>
        </is>
      </c>
    </row>
    <row r="94">
      <c r="A94" s="34" t="inlineStr">
        <is>
          <t>ベース（定常）</t>
        </is>
      </c>
      <c r="B94" s="53" t="inlineStr">
        <is>
          <t>Year2末（Month24）</t>
        </is>
      </c>
      <c r="C94" s="52" t="n">
        <v>1500</v>
      </c>
      <c r="D94" s="52" t="n">
        <v>0</v>
      </c>
      <c r="E94" s="50" t="n">
        <v>0</v>
      </c>
      <c r="F94" s="50" t="n">
        <v>1000</v>
      </c>
      <c r="G94" s="65" t="inlineStr">
        <is>
          <t>なし</t>
        </is>
      </c>
      <c r="H94" s="53" t="inlineStr">
        <is>
          <t>追加調達不要</t>
        </is>
      </c>
    </row>
    <row r="95">
      <c r="A95" s="9" t="inlineStr">
        <is>
          <t>遅延6ヶ月</t>
        </is>
      </c>
      <c r="B95" s="60" t="inlineStr">
        <is>
          <t>Year2.5（Month30）</t>
        </is>
      </c>
      <c r="C95" s="59" t="n">
        <v>1500</v>
      </c>
      <c r="D95" s="59" t="n">
        <v>750</v>
      </c>
      <c r="E95" s="10" t="n">
        <v>750</v>
      </c>
      <c r="F95" s="10" t="n">
        <v>250</v>
      </c>
      <c r="G95" s="67" t="inlineStr">
        <is>
          <t>Month28〜30</t>
        </is>
      </c>
      <c r="H95" s="60" t="inlineStr">
        <is>
          <t>追加750万円調達 or 費用削減</t>
        </is>
      </c>
    </row>
    <row r="96">
      <c r="A96" s="22" t="inlineStr">
        <is>
          <t>遅延12ヶ月（Year3着地）</t>
        </is>
      </c>
      <c r="B96" s="63" t="inlineStr">
        <is>
          <t>Year3（Month36）</t>
        </is>
      </c>
      <c r="C96" s="62" t="n">
        <v>1500</v>
      </c>
      <c r="D96" s="62" t="n">
        <v>1500</v>
      </c>
      <c r="E96" s="23" t="n">
        <v>1500</v>
      </c>
      <c r="F96" s="23" t="n">
        <v>-500</v>
      </c>
      <c r="G96" s="68" t="inlineStr">
        <is>
          <t>Month26〜28</t>
        </is>
      </c>
      <c r="H96" s="63" t="inlineStr">
        <is>
          <t>追加1500万円調達 or 費用削減</t>
        </is>
      </c>
    </row>
    <row r="97">
      <c r="A97" s="20" t="inlineStr">
        <is>
          <t>⚠️ 単価未達よりも『タイムライン遅延』が死活問題。6ヶ月の遅延で750万円の追加資金が必要になる。調達時に「12〜18ヶ月のランウェイ」を確保しておくことで6ヶ月遅延でも生存できる。</t>
        </is>
      </c>
    </row>
    <row r="100">
      <c r="A100" s="3" t="inlineStr">
        <is>
          <t>【分析⑨】CAC（顧客獲得コスト）悪化シナリオ——マーケ費・採用費高騰時のLTV/CAC・営業利益影響</t>
        </is>
      </c>
    </row>
    <row r="101">
      <c r="A101" s="11" t="inlineStr">
        <is>
          <t>Year2 ベースCAC ＝（採用費500万＋マーケ費360万）÷50社 ＝ 17.2万/社。LTV ＝ 月20万×12ヶ月＋人材紹介140万 ＝ 380万/社。アーリー層枯渇後のCAC悪化に備える。</t>
        </is>
      </c>
    </row>
    <row r="102">
      <c r="A102" s="4" t="inlineStr">
        <is>
          <t>シナリオ</t>
        </is>
      </c>
      <c r="B102" s="4" t="inlineStr">
        <is>
          <t>Year2 CAC（万円）</t>
        </is>
      </c>
      <c r="C102" s="4" t="inlineStr">
        <is>
          <t>Year2 LTV/CAC</t>
        </is>
      </c>
      <c r="D102" s="4" t="inlineStr">
        <is>
          <t>Year2 追加費用（万円）</t>
        </is>
      </c>
      <c r="E102" s="4" t="inlineStr">
        <is>
          <t>Year2 営業利益影響（万円）</t>
        </is>
      </c>
      <c r="F102" s="4" t="inlineStr">
        <is>
          <t>Year3 CAC（万円）</t>
        </is>
      </c>
      <c r="G102" s="4" t="inlineStr">
        <is>
          <t>Year3 LTV/CAC</t>
        </is>
      </c>
      <c r="H102" s="4" t="inlineStr">
        <is>
          <t>判定</t>
        </is>
      </c>
    </row>
    <row r="103">
      <c r="A103" s="34" t="inlineStr">
        <is>
          <t>ベース（1.0x）</t>
        </is>
      </c>
      <c r="B103" s="69" t="n">
        <v>17.2</v>
      </c>
      <c r="C103" s="69" t="n">
        <v>22.1</v>
      </c>
      <c r="D103" s="52" t="n">
        <v>0</v>
      </c>
      <c r="E103" s="50" t="n">
        <v>0</v>
      </c>
      <c r="F103" s="70" t="n">
        <v>13.1</v>
      </c>
      <c r="G103" s="70" t="n">
        <v>29</v>
      </c>
      <c r="H103" s="65" t="inlineStr">
        <is>
          <t>優良（Unit Econ成立）</t>
        </is>
      </c>
    </row>
    <row r="104">
      <c r="A104" s="9" t="inlineStr">
        <is>
          <t>CAC 1.5x</t>
        </is>
      </c>
      <c r="B104" s="71" t="n">
        <v>25.8</v>
      </c>
      <c r="C104" s="71" t="n">
        <v>14.7</v>
      </c>
      <c r="D104" s="59" t="n">
        <v>430</v>
      </c>
      <c r="E104" s="10" t="n">
        <v>-430</v>
      </c>
      <c r="F104" s="72" t="n">
        <v>19.7</v>
      </c>
      <c r="G104" s="72" t="n">
        <v>19.3</v>
      </c>
      <c r="H104" s="67" t="inlineStr">
        <is>
          <t>優良（Unit Econ成立）</t>
        </is>
      </c>
    </row>
    <row r="105">
      <c r="A105" s="22" t="inlineStr">
        <is>
          <t>CAC 2.0x（限界）</t>
        </is>
      </c>
      <c r="B105" s="73" t="n">
        <v>34.4</v>
      </c>
      <c r="C105" s="73" t="n">
        <v>11</v>
      </c>
      <c r="D105" s="62" t="n">
        <v>860</v>
      </c>
      <c r="E105" s="23" t="n">
        <v>-860</v>
      </c>
      <c r="F105" s="74" t="n">
        <v>26.3</v>
      </c>
      <c r="G105" s="74" t="n">
        <v>14.4</v>
      </c>
      <c r="H105" s="68" t="inlineStr">
        <is>
          <t>優良（Unit Econ成立）</t>
        </is>
      </c>
    </row>
    <row r="106">
      <c r="A106" s="11" t="inlineStr">
        <is>
          <t>※ CAC 2x まではLTV/CAC ≥ 11x を維持できる（投資家の一般基準 ≥ 3x を大幅超過）。人材紹介フィー140万/件が『CAC回収の保険』として機能するため、Unit Econ悪化耐性が高い。ただし月次マーケ費をYear3で月50万超に増やす際は、CAC測定と月次レビューを徹底すること。</t>
        </is>
      </c>
    </row>
  </sheetData>
  <mergeCells count="29">
    <mergeCell ref="A92:H92"/>
    <mergeCell ref="A39:H39"/>
    <mergeCell ref="A24:H24"/>
    <mergeCell ref="A51:H51"/>
    <mergeCell ref="A60:H60"/>
    <mergeCell ref="A1:H1"/>
    <mergeCell ref="A79:H79"/>
    <mergeCell ref="A61:H61"/>
    <mergeCell ref="A6:H6"/>
    <mergeCell ref="A88:H88"/>
    <mergeCell ref="A70:H70"/>
    <mergeCell ref="A80:H80"/>
    <mergeCell ref="A18:H18"/>
    <mergeCell ref="A50:H50"/>
    <mergeCell ref="A101:H101"/>
    <mergeCell ref="A2:H2"/>
    <mergeCell ref="A71:H71"/>
    <mergeCell ref="A76:H76"/>
    <mergeCell ref="A22:H22"/>
    <mergeCell ref="A97:H97"/>
    <mergeCell ref="A4:H4"/>
    <mergeCell ref="A100:H100"/>
    <mergeCell ref="A106:H106"/>
    <mergeCell ref="A91:H91"/>
    <mergeCell ref="A34:H34"/>
    <mergeCell ref="A38:H38"/>
    <mergeCell ref="A19:H19"/>
    <mergeCell ref="A58:H58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1" t="inlineStr">
        <is>
          <t>UNLID SME市場単価調査——中小企業が払える金額・サービス別分析</t>
        </is>
      </c>
    </row>
    <row r="2">
      <c r="A2" s="2" t="inlineStr">
        <is>
          <t>調査時点：2024〜2026年  ／  対象：従業員30〜300名の日本国内中小企業（SME）  ／  単位：万円（月額）</t>
        </is>
      </c>
    </row>
    <row r="4">
      <c r="A4" s="3" t="inlineStr">
        <is>
          <t>① 業務アウトソーシング・支援サービス 市場相場（SME向け）</t>
        </is>
      </c>
    </row>
    <row r="5">
      <c r="A5" s="4" t="inlineStr">
        <is>
          <t>業務カテゴリ</t>
        </is>
      </c>
      <c r="B5" s="4" t="inlineStr">
        <is>
          <t>相場下限（万円/月）</t>
        </is>
      </c>
      <c r="C5" s="4" t="inlineStr">
        <is>
          <t>相場上限（万円/月）</t>
        </is>
      </c>
      <c r="D5" s="4" t="inlineStr">
        <is>
          <t>最多価格帯</t>
        </is>
      </c>
      <c r="E5" s="4" t="inlineStr">
        <is>
          <t>UNLIDとの関係</t>
        </is>
      </c>
      <c r="F5" s="4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64" t="inlineStr">
        <is>
          <t>月5〜10万</t>
        </is>
      </c>
      <c r="E6" s="5" t="inlineStr">
        <is>
          <t>UNLID若手が補完する領域</t>
        </is>
      </c>
      <c r="F6" s="75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64" t="inlineStr">
        <is>
          <t>月15〜20万</t>
        </is>
      </c>
      <c r="E7" s="5" t="inlineStr">
        <is>
          <t>UNLIDの競合＆補完領域</t>
        </is>
      </c>
      <c r="F7" s="75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64" t="inlineStr">
        <is>
          <t>月15〜20万</t>
        </is>
      </c>
      <c r="E8" s="5" t="inlineStr">
        <is>
          <t>UNLIDの直接競合価格帯</t>
        </is>
      </c>
      <c r="F8" s="75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64" t="inlineStr">
        <is>
          <t>月15〜25万</t>
        </is>
      </c>
      <c r="E9" s="5" t="inlineStr">
        <is>
          <t>UNLIDクエストの一部として提供可</t>
        </is>
      </c>
      <c r="F9" s="75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64" t="inlineStr">
        <is>
          <t>月40〜60万</t>
        </is>
      </c>
      <c r="E10" s="5" t="inlineStr">
        <is>
          <t>UNLIDより高単価の上位市場</t>
        </is>
      </c>
      <c r="F10" s="75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64" t="inlineStr">
        <is>
          <t>月80〜120万</t>
        </is>
      </c>
      <c r="E11" s="5" t="inlineStr">
        <is>
          <t>UNLIDより5〜10倍高い。SMEは手が出ない</t>
        </is>
      </c>
      <c r="F11" s="75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64" t="inlineStr">
        <is>
          <t>プロジェクト型</t>
        </is>
      </c>
      <c r="E12" s="5" t="inlineStr">
        <is>
          <t>UNLIDのプロジェクト型収益（3ヶ月80〜200万）</t>
        </is>
      </c>
      <c r="F12" s="75" t="inlineStr">
        <is>
          <t>矢野経済研究所「AI導入コスト調査」2024年</t>
        </is>
      </c>
    </row>
    <row r="13">
      <c r="A13" s="34" t="inlineStr">
        <is>
          <t>★ UNLID フラクショナルFDE</t>
        </is>
      </c>
      <c r="B13" s="50" t="n">
        <v>20</v>
      </c>
      <c r="C13" s="50" t="n">
        <v>30</v>
      </c>
      <c r="D13" s="65" t="inlineStr">
        <is>
          <t>月20〜30万</t>
        </is>
      </c>
      <c r="E13" s="51" t="inlineStr">
        <is>
          <t>IT顧問より安く・ROI明確・最低単価20万円設定</t>
        </is>
      </c>
      <c r="F13" s="76" t="inlineStr">
        <is>
          <t>本資料 競合分析＆SME支払意欲調査</t>
        </is>
      </c>
    </row>
    <row r="15">
      <c r="A15" s="3" t="inlineStr">
        <is>
          <t>② SMEが月20〜30万円を払うことへのROI根拠（業務別）</t>
        </is>
      </c>
    </row>
    <row r="16">
      <c r="A16" s="4" t="inlineStr">
        <is>
          <t>SMEの業務課題（痛み）</t>
        </is>
      </c>
      <c r="B16" s="4" t="inlineStr">
        <is>
          <t>UNLID対応クエスト</t>
        </is>
      </c>
      <c r="C16" s="4" t="inlineStr">
        <is>
          <t>月額費用</t>
        </is>
      </c>
      <c r="D16" s="4" t="inlineStr">
        <is>
          <t>期待ROI（月）</t>
        </is>
      </c>
      <c r="E16" s="4" t="inlineStr">
        <is>
          <t>ROI根拠</t>
        </is>
      </c>
      <c r="F16" s="4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64" t="inlineStr">
        <is>
          <t>月5〜15万</t>
        </is>
      </c>
      <c r="D17" s="34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75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64" t="inlineStr">
        <is>
          <t>月10〜20万</t>
        </is>
      </c>
      <c r="D18" s="34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75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64" t="inlineStr">
        <is>
          <t>月20〜30万</t>
        </is>
      </c>
      <c r="D19" s="34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75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64" t="inlineStr">
        <is>
          <t>月8〜15万</t>
        </is>
      </c>
      <c r="D20" s="34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75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64" t="inlineStr">
        <is>
          <t>月5〜15万</t>
        </is>
      </c>
      <c r="D21" s="34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75" t="inlineStr">
        <is>
          <t>パーソル総合研究所「OJTに関する定量調査」2025年1月</t>
        </is>
      </c>
    </row>
    <row r="23">
      <c r="A23" s="3" t="inlineStr">
        <is>
          <t>③ 価格帯別 SME継続率・解約率仮説（業界ベンチマーク比較）</t>
        </is>
      </c>
    </row>
    <row r="24">
      <c r="A24" s="4" t="inlineStr">
        <is>
          <t>月額価格帯</t>
        </is>
      </c>
      <c r="B24" s="4" t="inlineStr">
        <is>
          <t>想定継続月数</t>
        </is>
      </c>
      <c r="C24" s="4" t="inlineStr">
        <is>
          <t>3ヶ月継続率</t>
        </is>
      </c>
      <c r="D24" s="4" t="inlineStr">
        <is>
          <t>12ヶ月継続率</t>
        </is>
      </c>
      <c r="E24" s="4" t="inlineStr">
        <is>
          <t>解約リスク要因</t>
        </is>
      </c>
      <c r="F24" s="4" t="inlineStr">
        <is>
          <t>参考：類似SaaSベンチマーク</t>
        </is>
      </c>
    </row>
    <row r="25">
      <c r="A25" s="5" t="inlineStr">
        <is>
          <t>月5〜10万（格安BPO）</t>
        </is>
      </c>
      <c r="B25" s="64" t="inlineStr">
        <is>
          <t>平均3〜6ヶ月</t>
        </is>
      </c>
      <c r="C25" s="64" t="inlineStr">
        <is>
          <t>65〜75%</t>
        </is>
      </c>
      <c r="D25" s="64" t="inlineStr">
        <is>
          <t>40〜55%</t>
        </is>
      </c>
      <c r="E25" s="5" t="inlineStr">
        <is>
          <t>ROIが見えにくい・担当者変更</t>
        </is>
      </c>
      <c r="F25" s="75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64" t="inlineStr">
        <is>
          <t>平均6〜12ヶ月</t>
        </is>
      </c>
      <c r="C26" s="64" t="inlineStr">
        <is>
          <t>70〜80%</t>
        </is>
      </c>
      <c r="D26" s="64" t="inlineStr">
        <is>
          <t>50〜65%</t>
        </is>
      </c>
      <c r="E26" s="5" t="inlineStr">
        <is>
          <t>効果の可視化が鍵</t>
        </is>
      </c>
      <c r="F26" s="75" t="inlineStr">
        <is>
          <t>HRコンサル・IT顧問業界ベンチマーク</t>
        </is>
      </c>
    </row>
    <row r="27">
      <c r="A27" s="34" t="inlineStr">
        <is>
          <t>月20〜30万（★UNLID価格帯）</t>
        </is>
      </c>
      <c r="B27" s="53" t="inlineStr">
        <is>
          <t>平均12〜18ヶ月</t>
        </is>
      </c>
      <c r="C27" s="65" t="inlineStr">
        <is>
          <t>80〜88%</t>
        </is>
      </c>
      <c r="D27" s="65" t="inlineStr">
        <is>
          <t>65〜75%</t>
        </is>
      </c>
      <c r="E27" s="51" t="inlineStr">
        <is>
          <t>ROI可視化と完遂ログが継続を後押し</t>
        </is>
      </c>
      <c r="F27" s="76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64" t="inlineStr">
        <is>
          <t>平均12〜24ヶ月</t>
        </is>
      </c>
      <c r="C28" s="64" t="inlineStr">
        <is>
          <t>80〜90%</t>
        </is>
      </c>
      <c r="D28" s="64" t="inlineStr">
        <is>
          <t>65〜75%</t>
        </is>
      </c>
      <c r="E28" s="5" t="inlineStr">
        <is>
          <t>担当者変更・予算削減</t>
        </is>
      </c>
      <c r="F28" s="75" t="inlineStr">
        <is>
          <t>サーキュレーション顧客定着率実績（参考）</t>
        </is>
      </c>
    </row>
    <row r="29">
      <c r="A29" s="7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29:F29"/>
    <mergeCell ref="A15:D15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2026-03-22T17:58:14Z</dcterms:created>
  <dcterms:modified xsi:type="dcterms:W3CDTF">2026-04-12T17:23:12Z</dcterms:modified>
</cp:coreProperties>
</file>