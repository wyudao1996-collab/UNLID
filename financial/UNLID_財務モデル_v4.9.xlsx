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条件" sheetId="1" state="visible" r:id="rId1"/>
    <sheet name="人員計画" sheetId="2" state="visible" r:id="rId2"/>
    <sheet name="PL（損益計算書）" sheetId="3" state="visible" r:id="rId3"/>
    <sheet name="BS（貸借対照表）" sheetId="4" state="visible" r:id="rId4"/>
    <sheet name="月次CF（36ヶ月）" sheetId="5" state="visible" r:id="rId5"/>
    <sheet name="感度分析" sheetId="6" state="visible" r:id="rId6"/>
    <sheet name="ベースシナリオ" sheetId="7" state="visible" r:id="rId7"/>
    <sheet name="SME単価市場調査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3">
    <font>
      <name val="Calibri"/>
      <family val="2"/>
      <color theme="1"/>
      <sz val="11"/>
      <scheme val="minor"/>
    </font>
    <font>
      <name val="Meiryo UI"/>
      <b val="1"/>
      <color rgb="00FFFFFF"/>
      <sz val="13"/>
    </font>
    <font>
      <name val="Meiryo UI"/>
      <i val="1"/>
      <color rgb="00000000"/>
      <sz val="9"/>
    </font>
    <font>
      <name val="Meiryo UI"/>
      <b val="1"/>
      <color rgb="00FFFFFF"/>
      <sz val="10"/>
    </font>
    <font>
      <name val="Meiryo UI"/>
      <b val="1"/>
      <color rgb="00000000"/>
      <sz val="10"/>
    </font>
    <font>
      <name val="Meiryo UI"/>
      <color rgb="00000000"/>
      <sz val="10"/>
    </font>
    <font>
      <name val="Meiryo UI"/>
      <b val="1"/>
      <color rgb="00000000"/>
      <sz val="9"/>
    </font>
    <font>
      <b val="1"/>
      <color rgb="00FFFFFF"/>
      <sz val="13"/>
    </font>
    <font>
      <color rgb="001e3a5f"/>
      <sz val="9"/>
    </font>
    <font>
      <b val="1"/>
      <color rgb="00FFFFFF"/>
      <sz val="11"/>
    </font>
    <font>
      <b val="1"/>
      <color rgb="00FFFFFF"/>
      <sz val="10"/>
    </font>
    <font>
      <color rgb="00000000"/>
      <sz val="10"/>
    </font>
    <font>
      <b val="1"/>
      <color rgb="00000000"/>
      <sz val="10"/>
    </font>
  </fonts>
  <fills count="2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AFC"/>
      </patternFill>
    </fill>
    <fill>
      <patternFill patternType="solid">
        <fgColor rgb="002563EB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FF9C4"/>
      </patternFill>
    </fill>
    <fill>
      <patternFill patternType="solid">
        <fgColor rgb="00E0E7FF"/>
      </patternFill>
    </fill>
    <fill>
      <patternFill patternType="solid">
        <fgColor rgb="00FEF3C7"/>
      </patternFill>
    </fill>
    <fill>
      <patternFill patternType="solid">
        <fgColor rgb="00FED7AA"/>
      </patternFill>
    </fill>
    <fill>
      <patternFill patternType="solid">
        <fgColor rgb="00FEE2E2"/>
      </patternFill>
    </fill>
    <fill>
      <patternFill patternType="solid">
        <fgColor rgb="00EFF6FF"/>
      </patternFill>
    </fill>
    <fill>
      <patternFill patternType="solid">
        <fgColor rgb="001F3864"/>
      </patternFill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0f172a"/>
      </patternFill>
    </fill>
    <fill>
      <patternFill patternType="solid">
        <fgColor rgb="00eff6ff"/>
      </patternFill>
    </fill>
    <fill>
      <patternFill patternType="solid">
        <fgColor rgb="002563eb"/>
      </patternFill>
    </fill>
    <fill>
      <patternFill patternType="solid">
        <fgColor rgb="00fef9c3"/>
      </patternFill>
    </fill>
    <fill>
      <patternFill patternType="solid">
        <fgColor rgb="00FFFFFF"/>
      </patternFill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3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 wrapText="1"/>
    </xf>
    <xf numFmtId="3" fontId="4" fillId="7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/>
    </xf>
    <xf numFmtId="3" fontId="4" fillId="8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3" fontId="4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3" fontId="5" fillId="11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3" fontId="5" fillId="3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3" fontId="5" fillId="8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3" fontId="4" fillId="12" borderId="1" applyAlignment="1" pivotButton="0" quotePrefix="0" xfId="0">
      <alignment horizontal="center" vertical="center" wrapText="1"/>
    </xf>
    <xf numFmtId="164" fontId="5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left" vertical="center" wrapText="1"/>
    </xf>
    <xf numFmtId="164" fontId="4" fillId="12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" fillId="13" borderId="0" applyAlignment="1" pivotButton="0" quotePrefix="0" xfId="0">
      <alignment horizontal="center" vertical="center" wrapText="1"/>
    </xf>
    <xf numFmtId="0" fontId="2" fillId="14" borderId="0" applyAlignment="1" pivotButton="0" quotePrefix="0" xfId="0">
      <alignment horizontal="center" vertical="center" wrapText="1"/>
    </xf>
    <xf numFmtId="0" fontId="3" fillId="15" borderId="0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17" borderId="1" applyAlignment="1" pivotButton="0" quotePrefix="0" xfId="0">
      <alignment horizontal="left" vertical="center" wrapText="1"/>
    </xf>
    <xf numFmtId="3" fontId="4" fillId="17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left" vertical="center" wrapText="1"/>
    </xf>
    <xf numFmtId="0" fontId="2" fillId="17" borderId="1" applyAlignment="1" pivotButton="0" quotePrefix="0" xfId="0">
      <alignment horizontal="left" vertical="center" wrapText="1"/>
    </xf>
    <xf numFmtId="0" fontId="5" fillId="17" borderId="1" applyAlignment="1" pivotButton="0" quotePrefix="0" xfId="0">
      <alignment horizontal="center" vertical="center" wrapText="1"/>
    </xf>
    <xf numFmtId="0" fontId="2" fillId="18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7" fillId="19" borderId="0" applyAlignment="1" pivotButton="0" quotePrefix="0" xfId="0">
      <alignment horizontal="left" vertical="center"/>
    </xf>
    <xf numFmtId="0" fontId="8" fillId="20" borderId="0" applyAlignment="1" pivotButton="0" quotePrefix="0" xfId="0">
      <alignment horizontal="left" vertical="center" wrapText="1"/>
    </xf>
    <xf numFmtId="0" fontId="9" fillId="21" borderId="0" applyAlignment="1" pivotButton="0" quotePrefix="0" xfId="0">
      <alignment horizontal="left" vertical="center"/>
    </xf>
    <xf numFmtId="0" fontId="10" fillId="19" borderId="6" applyAlignment="1" pivotButton="0" quotePrefix="0" xfId="0">
      <alignment horizontal="left" vertical="center"/>
    </xf>
    <xf numFmtId="0" fontId="10" fillId="19" borderId="6" applyAlignment="1" pivotButton="0" quotePrefix="0" xfId="0">
      <alignment horizontal="center" vertical="center"/>
    </xf>
    <xf numFmtId="0" fontId="11" fillId="20" borderId="6" applyAlignment="1" pivotButton="0" quotePrefix="0" xfId="0">
      <alignment horizontal="left" vertical="center"/>
    </xf>
    <xf numFmtId="1" fontId="11" fillId="20" borderId="6" applyAlignment="1" pivotButton="0" quotePrefix="0" xfId="0">
      <alignment horizontal="center" vertical="center"/>
    </xf>
    <xf numFmtId="165" fontId="11" fillId="22" borderId="6" applyAlignment="1" pivotButton="0" quotePrefix="0" xfId="0">
      <alignment horizontal="center" vertical="center"/>
    </xf>
    <xf numFmtId="0" fontId="11" fillId="23" borderId="6" applyAlignment="1" pivotButton="0" quotePrefix="0" xfId="0">
      <alignment horizontal="left" vertical="center"/>
    </xf>
    <xf numFmtId="1" fontId="11" fillId="23" borderId="6" applyAlignment="1" pivotButton="0" quotePrefix="0" xfId="0">
      <alignment horizontal="center" vertical="center"/>
    </xf>
    <xf numFmtId="0" fontId="10" fillId="24" borderId="6" applyAlignment="1" pivotButton="0" quotePrefix="0" xfId="0">
      <alignment horizontal="center" vertical="center"/>
    </xf>
    <xf numFmtId="1" fontId="12" fillId="25" borderId="6" applyAlignment="1" pivotButton="0" quotePrefix="0" xfId="0">
      <alignment horizontal="center" vertical="center"/>
    </xf>
    <xf numFmtId="165" fontId="12" fillId="22" borderId="6" applyAlignment="1" pivotButton="0" quotePrefix="0" xfId="0">
      <alignment horizontal="center" vertical="center"/>
    </xf>
    <xf numFmtId="0" fontId="11" fillId="23" borderId="6" applyAlignment="1" pivotButton="0" quotePrefix="0" xfId="0">
      <alignment horizontal="center" vertical="center"/>
    </xf>
    <xf numFmtId="3" fontId="11" fillId="20" borderId="6" applyAlignment="1" pivotButton="0" quotePrefix="0" xfId="0">
      <alignment horizontal="center" vertical="center"/>
    </xf>
    <xf numFmtId="3" fontId="11" fillId="22" borderId="6" applyAlignment="1" pivotButton="0" quotePrefix="0" xfId="0">
      <alignment horizontal="center" vertical="center"/>
    </xf>
    <xf numFmtId="3" fontId="11" fillId="25" borderId="6" applyAlignment="1" pivotButton="0" quotePrefix="0" xfId="0">
      <alignment horizontal="center" vertical="center"/>
    </xf>
    <xf numFmtId="3" fontId="11" fillId="23" borderId="6" applyAlignment="1" pivotButton="0" quotePrefix="0" xfId="0">
      <alignment horizontal="center" vertical="center"/>
    </xf>
    <xf numFmtId="3" fontId="12" fillId="25" borderId="6" applyAlignment="1" pivotButton="0" quotePrefix="0" xfId="0">
      <alignment horizontal="center" vertical="center"/>
    </xf>
    <xf numFmtId="3" fontId="12" fillId="22" borderId="6" applyAlignment="1" pivotButton="0" quotePrefix="0" xfId="0">
      <alignment horizontal="center" vertical="center"/>
    </xf>
    <xf numFmtId="0" fontId="11" fillId="25" borderId="6" applyAlignment="1" pivotButton="0" quotePrefix="0" xfId="0">
      <alignment horizontal="left" vertical="center"/>
    </xf>
    <xf numFmtId="0" fontId="12" fillId="20" borderId="6" applyAlignment="1" pivotButton="0" quotePrefix="0" xfId="0">
      <alignment horizontal="left" vertical="center"/>
    </xf>
    <xf numFmtId="3" fontId="12" fillId="20" borderId="6" applyAlignment="1" pivotButton="0" quotePrefix="0" xfId="0">
      <alignment horizontal="center" vertical="center"/>
    </xf>
    <xf numFmtId="2" fontId="12" fillId="25" borderId="6" applyAlignment="1" pivotButton="0" quotePrefix="0" xfId="0">
      <alignment horizontal="center" vertical="center"/>
    </xf>
    <xf numFmtId="2" fontId="12" fillId="22" borderId="6" applyAlignment="1" pivotButton="0" quotePrefix="0" xfId="0">
      <alignment horizontal="center" vertical="center"/>
    </xf>
    <xf numFmtId="0" fontId="10" fillId="26" borderId="6" applyAlignment="1" pivotButton="0" quotePrefix="0" xfId="0">
      <alignment horizontal="center" vertical="center"/>
    </xf>
    <xf numFmtId="0" fontId="11" fillId="25" borderId="6" applyAlignment="1" pivotButton="0" quotePrefix="0" xfId="0">
      <alignment horizontal="center" vertical="center"/>
    </xf>
    <xf numFmtId="0" fontId="11" fillId="22" borderId="6" applyAlignment="1" pivotButton="0" quotePrefix="0" xfId="0">
      <alignment horizontal="center" vertical="center"/>
    </xf>
    <xf numFmtId="0" fontId="3" fillId="13" borderId="0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center" vertical="center" wrapText="1"/>
    </xf>
    <xf numFmtId="0" fontId="4" fillId="27" borderId="1" applyAlignment="1" pivotButton="0" quotePrefix="0" xfId="0">
      <alignment horizontal="left" vertical="center" wrapText="1"/>
    </xf>
    <xf numFmtId="0" fontId="4" fillId="27" borderId="1" applyAlignment="1" pivotButton="0" quotePrefix="0" xfId="0">
      <alignment horizontal="center" vertical="center" wrapText="1"/>
    </xf>
    <xf numFmtId="0" fontId="5" fillId="18" borderId="0" applyAlignment="1" pivotButton="0" quotePrefix="0" xfId="0">
      <alignment horizontal="left" vertical="center" wrapText="1"/>
    </xf>
    <xf numFmtId="0" fontId="5" fillId="28" borderId="1" applyAlignment="1" pivotButton="0" quotePrefix="0" xfId="0">
      <alignment horizontal="left" vertical="center" wrapText="1"/>
    </xf>
    <xf numFmtId="0" fontId="5" fillId="28" borderId="1" applyAlignment="1" pivotButton="0" quotePrefix="0" xfId="0">
      <alignment horizontal="center" vertical="center" wrapText="1"/>
    </xf>
    <xf numFmtId="0" fontId="5" fillId="2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2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</cols>
  <sheetData>
    <row r="1" ht="26" customHeight="1">
      <c r="A1" s="1" t="inlineStr">
        <is>
          <t>UNLID 財務モデル 前提条件 v4.9  ─  単位：万円  |  中央値シナリオ（改善版）</t>
        </is>
      </c>
    </row>
    <row r="2">
      <c r="A2" s="2" t="inlineStr">
        <is>
          <t>v4.9変更（UNLID_財務改善示唆_v1.0.md 反映）：①Y1プロジェクト件数 2→3件 (+90万)、②Y1人材紹介件数 0→3件 (+420万)、③感度分析に外部認定FDE試算・FDE変動報酬試算を追加</t>
        </is>
      </c>
    </row>
    <row r="4" ht="20" customHeight="1">
      <c r="A4" s="3" t="inlineStr">
        <is>
          <t>① 売上ドライバー</t>
        </is>
      </c>
    </row>
    <row r="5">
      <c r="A5" s="4" t="inlineStr">
        <is>
          <t>項目</t>
        </is>
      </c>
      <c r="B5" s="4" t="inlineStr">
        <is>
          <t>Year1</t>
        </is>
      </c>
      <c r="C5" s="4" t="inlineStr">
        <is>
          <t>Year2</t>
        </is>
      </c>
      <c r="D5" s="4" t="inlineStr">
        <is>
          <t>Year3</t>
        </is>
      </c>
    </row>
    <row r="6">
      <c r="A6" s="5" t="inlineStr">
        <is>
          <t>B2B契約企業数（期末純増・社）</t>
        </is>
      </c>
      <c r="B6" s="6" t="n">
        <v>10</v>
      </c>
      <c r="C6" s="6" t="n">
        <v>50</v>
      </c>
      <c r="D6" s="6" t="n">
        <v>160</v>
      </c>
    </row>
    <row r="7">
      <c r="A7" s="5" t="inlineStr">
        <is>
          <t>FDE受託 月額単価（万円/社）</t>
        </is>
      </c>
      <c r="B7" s="6">
        <f>B93</f>
        <v/>
      </c>
      <c r="C7" s="6">
        <f>ROUND((B6*B93+(C6-B6)*C93)/C6,0)</f>
        <v/>
      </c>
      <c r="D7" s="6">
        <f>ROUND((C6*C7+(D6-C6)*D93)/D6,0)</f>
        <v/>
      </c>
    </row>
    <row r="8">
      <c r="A8" s="7" t="inlineStr">
        <is>
          <t>B2B受託収益（万円）</t>
        </is>
      </c>
      <c r="B8" s="8">
        <f>(0+B6)/2*B7*12</f>
        <v/>
      </c>
      <c r="C8" s="8">
        <f>(B6+C6)/2*C7*12</f>
        <v/>
      </c>
      <c r="D8" s="8">
        <f>(C6+D6)/2*D7*12</f>
        <v/>
      </c>
    </row>
    <row r="9">
      <c r="A9" s="5" t="inlineStr">
        <is>
          <t>人材紹介成立件数（件）</t>
        </is>
      </c>
      <c r="B9" s="6" t="n">
        <v>3</v>
      </c>
      <c r="C9" s="6" t="n">
        <v>10</v>
      </c>
      <c r="D9" s="6" t="n">
        <v>40</v>
      </c>
    </row>
    <row r="10">
      <c r="A10" s="5" t="inlineStr">
        <is>
          <t>人材紹介フィー単価（万円/件）</t>
        </is>
      </c>
      <c r="B10" s="6" t="n">
        <v>140</v>
      </c>
      <c r="C10" s="6" t="n">
        <v>140</v>
      </c>
      <c r="D10" s="6" t="n">
        <v>140</v>
      </c>
    </row>
    <row r="11">
      <c r="A11" s="7" t="inlineStr">
        <is>
          <t>人材紹介フィー合計（万円）</t>
        </is>
      </c>
      <c r="B11" s="8">
        <f>B9*B10</f>
        <v/>
      </c>
      <c r="C11" s="8">
        <f>C9*C10</f>
        <v/>
      </c>
      <c r="D11" s="8">
        <f>D9*D10</f>
        <v/>
      </c>
    </row>
    <row r="12">
      <c r="A12" s="5" t="inlineStr">
        <is>
          <t>受託プロジェクト件数（件）</t>
        </is>
      </c>
      <c r="B12" s="6" t="n">
        <v>3</v>
      </c>
      <c r="C12" s="6" t="n">
        <v>16</v>
      </c>
      <c r="D12" s="6" t="n">
        <v>32</v>
      </c>
    </row>
    <row r="13">
      <c r="A13" s="5" t="inlineStr">
        <is>
          <t>プロジェクト単価（万円/件・ベース）</t>
        </is>
      </c>
      <c r="B13" s="6" t="n">
        <v>90</v>
      </c>
      <c r="C13" s="6" t="n">
        <v>100</v>
      </c>
      <c r="D13" s="6" t="n">
        <v>100</v>
      </c>
    </row>
    <row r="14">
      <c r="A14" s="7" t="inlineStr">
        <is>
          <t>プロジェクト収益（万円）</t>
        </is>
      </c>
      <c r="B14" s="8">
        <f>B12*B13</f>
        <v/>
      </c>
      <c r="C14" s="8">
        <f>C12*C13</f>
        <v/>
      </c>
      <c r="D14" s="8">
        <f>D12*D13</f>
        <v/>
      </c>
    </row>
    <row r="15">
      <c r="A15" s="9" t="inlineStr">
        <is>
          <t>売上合計（万円）</t>
        </is>
      </c>
      <c r="B15" s="10">
        <f>'PL（損益計算書）'!B9</f>
        <v/>
      </c>
      <c r="C15" s="10">
        <f>'PL（損益計算書）'!C9</f>
        <v/>
      </c>
      <c r="D15" s="10">
        <f>'PL（損益計算書）'!D9</f>
        <v/>
      </c>
    </row>
    <row r="16">
      <c r="A16" s="2" t="inlineStr">
        <is>
          <t>※ v4.3修正：B2Bは期中平均社数（（期首＋期末）÷2）×単価×12ヶ月で計算。Y1期首=0社前提。「純増」はChurn率2.0%（Y1/Y2）・1.5%（Y3）を織り込んだ後の純社数（詳細は⑦参照）</t>
        </is>
      </c>
    </row>
    <row r="17">
      <c r="A17" s="2" t="inlineStr">
        <is>
          <t>※ FDE月額単価上昇（20→23→25万円）は既存顧客への値上げではなく、新規顧客を上位プランで獲得する設計。既存契約は契約時単価で継続→Churn率への影響軽微。</t>
        </is>
      </c>
    </row>
    <row r="18" ht="20" customHeight="1">
      <c r="A18" s="3" t="inlineStr">
        <is>
          <t>② COGS（売上原価）前提  ─  サーバー/API費・外注費</t>
        </is>
      </c>
    </row>
    <row r="19">
      <c r="A19" s="4" t="inlineStr">
        <is>
          <t>項目</t>
        </is>
      </c>
      <c r="B19" s="4" t="inlineStr">
        <is>
          <t>Year1</t>
        </is>
      </c>
      <c r="C19" s="4" t="inlineStr">
        <is>
          <t>Year2</t>
        </is>
      </c>
      <c r="D19" s="4" t="inlineStr">
        <is>
          <t>Year3</t>
        </is>
      </c>
    </row>
    <row r="20">
      <c r="A20" s="5" t="inlineStr">
        <is>
          <t>AIサーバー・インフラ費（万円）</t>
        </is>
      </c>
      <c r="B20" s="6" t="n">
        <v>24</v>
      </c>
      <c r="C20" s="6" t="n">
        <v>72</v>
      </c>
      <c r="D20" s="6" t="n">
        <v>180</v>
      </c>
    </row>
    <row r="21">
      <c r="A21" s="5" t="inlineStr">
        <is>
          <t>外部API利用料（OpenAI等・万円）</t>
        </is>
      </c>
      <c r="B21" s="6" t="n">
        <v>12</v>
      </c>
      <c r="C21" s="6" t="n">
        <v>60</v>
      </c>
      <c r="D21" s="6" t="n">
        <v>180</v>
      </c>
    </row>
    <row r="22">
      <c r="A22" s="5" t="inlineStr">
        <is>
          <t>副業ワーカー報酬率（対B2B受託売上）</t>
        </is>
      </c>
      <c r="B22" s="11" t="n">
        <v>0.09</v>
      </c>
      <c r="C22" s="11" t="n">
        <v>0.08</v>
      </c>
      <c r="D22" s="11" t="n">
        <v>0.08</v>
      </c>
    </row>
    <row r="23">
      <c r="A23" s="5" t="inlineStr">
        <is>
          <t>副業ワーカー報酬（万円）</t>
        </is>
      </c>
      <c r="B23" s="6">
        <f>B8*B22</f>
        <v/>
      </c>
      <c r="C23" s="6">
        <f>C8*C22</f>
        <v/>
      </c>
      <c r="D23" s="6">
        <f>D8*D22</f>
        <v/>
      </c>
    </row>
    <row r="24">
      <c r="A24" s="5" t="inlineStr">
        <is>
          <t>プロジェクト型外注費（技術フリーランス協業費 35万/件・万円）</t>
        </is>
      </c>
      <c r="B24" s="6" t="n">
        <v>70</v>
      </c>
      <c r="C24" s="6" t="n">
        <v>560</v>
      </c>
      <c r="D24" s="6" t="n">
        <v>1120</v>
      </c>
    </row>
    <row r="25">
      <c r="A25" s="12" t="inlineStr">
        <is>
          <t>COGS合計（万円）</t>
        </is>
      </c>
      <c r="B25" s="13">
        <f>SUM(B20:B24)</f>
        <v/>
      </c>
      <c r="C25" s="13">
        <f>SUM(C20:C24)</f>
        <v/>
      </c>
      <c r="D25" s="13">
        <f>SUM(D20:D24)</f>
        <v/>
      </c>
    </row>
    <row r="26">
      <c r="A26" s="14" t="inlineStr">
        <is>
          <t>売上総利益（万円）</t>
        </is>
      </c>
      <c r="B26" s="15">
        <f>B15-B25</f>
        <v/>
      </c>
      <c r="C26" s="15">
        <f>C15-C25</f>
        <v/>
      </c>
      <c r="D26" s="15">
        <f>D15-D25</f>
        <v/>
      </c>
    </row>
    <row r="27">
      <c r="A27" s="16" t="inlineStr">
        <is>
          <t>粗利率</t>
        </is>
      </c>
      <c r="B27" s="17">
        <f>B26/B15</f>
        <v/>
      </c>
      <c r="C27" s="17">
        <f>C26/C15</f>
        <v/>
      </c>
      <c r="D27" s="17">
        <f>D26/D15</f>
        <v/>
      </c>
    </row>
    <row r="29" ht="20" customHeight="1">
      <c r="A29" s="3" t="inlineStr">
        <is>
          <t>③ SG&amp;A（販売費及び一般管理費）前提  ─  人員計画シートと連動</t>
        </is>
      </c>
    </row>
    <row r="30">
      <c r="A30" s="4" t="inlineStr">
        <is>
          <t>項目</t>
        </is>
      </c>
      <c r="B30" s="4" t="inlineStr">
        <is>
          <t>Year1</t>
        </is>
      </c>
      <c r="C30" s="4" t="inlineStr">
        <is>
          <t>Year2</t>
        </is>
      </c>
      <c r="D30" s="4" t="inlineStr">
        <is>
          <t>Year3</t>
        </is>
      </c>
    </row>
    <row r="31">
      <c r="A31" s="16" t="inlineStr">
        <is>
          <t>人件費合計（万円）※人員計画シート参照</t>
        </is>
      </c>
      <c r="B31" s="18">
        <f>人員計画!D32</f>
        <v/>
      </c>
      <c r="C31" s="18">
        <f>人員計画!E32</f>
        <v/>
      </c>
      <c r="D31" s="18">
        <f>人員計画!F32</f>
        <v/>
      </c>
    </row>
    <row r="32">
      <c r="A32" s="16" t="inlineStr">
        <is>
          <t>採用費合計（万円）※人員計画シート参照</t>
        </is>
      </c>
      <c r="B32" s="18">
        <f>人員計画!D42</f>
        <v/>
      </c>
      <c r="C32" s="18">
        <f>人員計画!E42</f>
        <v/>
      </c>
      <c r="D32" s="18">
        <f>人員計画!F42</f>
        <v/>
      </c>
    </row>
    <row r="33">
      <c r="A33" s="5" t="inlineStr">
        <is>
          <t>B2Bマーケティング・CAC費（万円）</t>
        </is>
      </c>
      <c r="B33" s="6" t="n">
        <v>120</v>
      </c>
      <c r="C33" s="6" t="n">
        <v>360</v>
      </c>
      <c r="D33" s="6" t="n">
        <v>600</v>
      </c>
    </row>
    <row r="34">
      <c r="A34" s="5" t="inlineStr">
        <is>
          <t>人材紹介 候補者集客広告費（万円）</t>
        </is>
      </c>
      <c r="B34" s="6" t="n">
        <v>30</v>
      </c>
      <c r="C34" s="6" t="n">
        <v>200</v>
      </c>
      <c r="D34" s="6" t="n">
        <v>500</v>
      </c>
    </row>
    <row r="35">
      <c r="A35" s="5" t="inlineStr">
        <is>
          <t>地代家賃・オフィス費（万円）</t>
        </is>
      </c>
      <c r="B35" s="6" t="n">
        <v>60</v>
      </c>
      <c r="C35" s="6" t="n">
        <v>180</v>
      </c>
      <c r="D35" s="6" t="n">
        <v>360</v>
      </c>
    </row>
    <row r="36">
      <c r="A36" s="5" t="inlineStr">
        <is>
          <t>SaaSツール・システム費（万円）</t>
        </is>
      </c>
      <c r="B36" s="6" t="n">
        <v>60</v>
      </c>
      <c r="C36" s="6" t="n">
        <v>120</v>
      </c>
      <c r="D36" s="6" t="n">
        <v>240</v>
      </c>
    </row>
    <row r="37">
      <c r="A37" s="5" t="inlineStr">
        <is>
          <t>法務・許認可・顧問費（万円）</t>
        </is>
      </c>
      <c r="B37" s="6" t="n">
        <v>200</v>
      </c>
      <c r="C37" s="6" t="n">
        <v>300</v>
      </c>
      <c r="D37" s="6" t="n">
        <v>400</v>
      </c>
    </row>
    <row r="38">
      <c r="A38" s="5" t="inlineStr">
        <is>
          <t>その他固定費（万円）</t>
        </is>
      </c>
      <c r="B38" s="6" t="n">
        <v>60</v>
      </c>
      <c r="C38" s="6" t="n">
        <v>120</v>
      </c>
      <c r="D38" s="6" t="n">
        <v>200</v>
      </c>
    </row>
    <row r="39">
      <c r="A39" s="12" t="inlineStr">
        <is>
          <t>SG&amp;A合計（万円）</t>
        </is>
      </c>
      <c r="B39" s="13">
        <f>SUM(B31:B38)</f>
        <v/>
      </c>
      <c r="C39" s="13">
        <f>SUM(C31:C38)</f>
        <v/>
      </c>
      <c r="D39" s="13">
        <f>SUM(D31:D38)</f>
        <v/>
      </c>
    </row>
    <row r="40">
      <c r="A40" s="9" t="inlineStr">
        <is>
          <t>営業利益（万円）</t>
        </is>
      </c>
      <c r="B40" s="10">
        <f>B26-B39</f>
        <v/>
      </c>
      <c r="C40" s="10">
        <f>C26-C39</f>
        <v/>
      </c>
      <c r="D40" s="10">
        <f>D26-D39</f>
        <v/>
      </c>
    </row>
    <row r="41">
      <c r="A41" s="16" t="inlineStr">
        <is>
          <t>営業利益率</t>
        </is>
      </c>
      <c r="B41" s="17">
        <f>B40/B15</f>
        <v/>
      </c>
      <c r="C41" s="17">
        <f>C40/C15</f>
        <v/>
      </c>
      <c r="D41" s="17">
        <f>D40/D15</f>
        <v/>
      </c>
    </row>
    <row r="43" ht="20" customHeight="1">
      <c r="A43" s="3" t="inlineStr">
        <is>
          <t>④ 運転資本サイト（売掛金・買掛金）</t>
        </is>
      </c>
    </row>
    <row r="44">
      <c r="A44" s="4" t="inlineStr">
        <is>
          <t>項目</t>
        </is>
      </c>
      <c r="B44" s="4" t="inlineStr">
        <is>
          <t>Year1</t>
        </is>
      </c>
      <c r="C44" s="4" t="inlineStr">
        <is>
          <t>Year2</t>
        </is>
      </c>
      <c r="D44" s="4" t="inlineStr">
        <is>
          <t>Year3</t>
        </is>
      </c>
    </row>
    <row r="45">
      <c r="A45" s="5" t="inlineStr">
        <is>
          <t>売掛金 回収サイト（日）─ 月末締め翌月末払い</t>
        </is>
      </c>
      <c r="B45" s="6" t="n">
        <v>30</v>
      </c>
      <c r="C45" s="6" t="n">
        <v>30</v>
      </c>
      <c r="D45" s="6" t="n">
        <v>30</v>
      </c>
    </row>
    <row r="46">
      <c r="A46" s="5" t="inlineStr">
        <is>
          <t>買掛金 支払サイト（日）─ 月末締め翌月末払い</t>
        </is>
      </c>
      <c r="B46" s="6" t="n">
        <v>30</v>
      </c>
      <c r="C46" s="6" t="n">
        <v>30</v>
      </c>
      <c r="D46" s="6" t="n">
        <v>30</v>
      </c>
    </row>
    <row r="47">
      <c r="A47" s="5" t="inlineStr">
        <is>
          <t>期末売掛金残高（万円）=売上/12</t>
        </is>
      </c>
      <c r="B47" s="6">
        <f>ROUND(B15/12,0)</f>
        <v/>
      </c>
      <c r="C47" s="6">
        <f>ROUND(C15/12,0)</f>
        <v/>
      </c>
      <c r="D47" s="6">
        <f>ROUND(D15/12,0)</f>
        <v/>
      </c>
    </row>
    <row r="48">
      <c r="A48" s="5" t="inlineStr">
        <is>
          <t>期末買掛金残高（万円）=COGS/12</t>
        </is>
      </c>
      <c r="B48" s="6">
        <f>ROUND(B25/12,0)</f>
        <v/>
      </c>
      <c r="C48" s="6">
        <f>ROUND(C25/12,0)</f>
        <v/>
      </c>
      <c r="D48" s="6">
        <f>ROUND(D25/12,0)</f>
        <v/>
      </c>
    </row>
    <row r="50" ht="20" customHeight="1">
      <c r="A50" s="3" t="inlineStr">
        <is>
          <t>⑤ 設備投資・ソフトウェア資産・減価償却</t>
        </is>
      </c>
    </row>
    <row r="51">
      <c r="A51" s="4" t="inlineStr">
        <is>
          <t>項目</t>
        </is>
      </c>
      <c r="B51" s="4" t="inlineStr">
        <is>
          <t>Year1</t>
        </is>
      </c>
      <c r="C51" s="4" t="inlineStr">
        <is>
          <t>Year2</t>
        </is>
      </c>
      <c r="D51" s="4" t="inlineStr">
        <is>
          <t>Year3</t>
        </is>
      </c>
    </row>
    <row r="52">
      <c r="A52" s="5" t="inlineStr">
        <is>
          <t>自社システム開発費（資産計上・万円）</t>
        </is>
      </c>
      <c r="B52" s="6" t="n">
        <v>100</v>
      </c>
      <c r="C52" s="6" t="n">
        <v>300</v>
      </c>
      <c r="D52" s="6" t="n">
        <v>800</v>
      </c>
    </row>
    <row r="53">
      <c r="A53" s="5" t="inlineStr">
        <is>
          <t>償却期間（年）</t>
        </is>
      </c>
      <c r="B53" s="6" t="n">
        <v>3</v>
      </c>
      <c r="C53" s="6" t="n">
        <v>3</v>
      </c>
      <c r="D53" s="6" t="n">
        <v>3</v>
      </c>
    </row>
    <row r="54">
      <c r="A54" s="5" t="inlineStr">
        <is>
          <t>当期償却費（万円）</t>
        </is>
      </c>
      <c r="B54" s="6">
        <f>ROUND(B52/B53,0)</f>
        <v/>
      </c>
      <c r="C54" s="6">
        <f>ROUND(B52/B53+C52/C53,0)</f>
        <v/>
      </c>
      <c r="D54" s="6">
        <f>ROUND(B52/B53+C52/C53+D52/D53,0)</f>
        <v/>
      </c>
    </row>
    <row r="55">
      <c r="A55" s="5" t="inlineStr">
        <is>
          <t>ソフトウェア資産残高（万円・期末）</t>
        </is>
      </c>
      <c r="B55" s="6">
        <f>B52-B54</f>
        <v/>
      </c>
      <c r="C55" s="6">
        <f>B52+C52-C54-B54</f>
        <v/>
      </c>
      <c r="D55" s="6">
        <f>B52+C52+D52-D54-C54-B54</f>
        <v/>
      </c>
    </row>
    <row r="57" ht="20" customHeight="1">
      <c r="A57" s="3" t="inlineStr">
        <is>
          <t>⑥ 資金調達前提（エクイティ・デット）</t>
        </is>
      </c>
    </row>
    <row r="58">
      <c r="A58" s="4" t="inlineStr">
        <is>
          <t>項目</t>
        </is>
      </c>
      <c r="B58" s="4" t="inlineStr">
        <is>
          <t>Year1</t>
        </is>
      </c>
      <c r="C58" s="4" t="inlineStr">
        <is>
          <t>Year2</t>
        </is>
      </c>
      <c r="D58" s="4" t="inlineStr">
        <is>
          <t>Year3</t>
        </is>
      </c>
    </row>
    <row r="59">
      <c r="A59" s="5" t="inlineStr">
        <is>
          <t>期首資本金（払込済・万円）</t>
        </is>
      </c>
      <c r="B59" s="6" t="n">
        <v>500</v>
      </c>
      <c r="C59" s="6" t="n">
        <v>0</v>
      </c>
      <c r="D59" s="6" t="n">
        <v>0</v>
      </c>
    </row>
    <row r="60">
      <c r="A60" s="5" t="inlineStr">
        <is>
          <t>シード調達（エクイティ・万円）</t>
        </is>
      </c>
      <c r="B60" s="6" t="n">
        <v>0</v>
      </c>
      <c r="C60" s="6" t="n">
        <v>3000</v>
      </c>
      <c r="D60" s="6" t="n">
        <v>0</v>
      </c>
    </row>
    <row r="61">
      <c r="A61" s="5" t="inlineStr">
        <is>
          <t>シリーズA調達（万円）</t>
        </is>
      </c>
      <c r="B61" s="6" t="n">
        <v>0</v>
      </c>
      <c r="C61" s="6" t="n">
        <v>0</v>
      </c>
      <c r="D61" s="6" t="n">
        <v>10000</v>
      </c>
    </row>
    <row r="62">
      <c r="A62" s="5" t="inlineStr">
        <is>
          <t>銀行借入（万円）</t>
        </is>
      </c>
      <c r="B62" s="6" t="n">
        <v>2000</v>
      </c>
      <c r="C62" s="6" t="n">
        <v>0</v>
      </c>
      <c r="D62" s="6" t="n">
        <v>0</v>
      </c>
      <c r="E62" t="inlineStr">
        <is>
          <t>【v4.4修正根拠】Y1月次オペBurn≈168万×12+設備投資100 = 2,116万。資本金500万を差し引くと必要融資1,616万→安全バッファ込み2,000万。M12期末現預金残高≈+384万円（黒字）</t>
        </is>
      </c>
    </row>
    <row r="63">
      <c r="A63" s="5" t="inlineStr">
        <is>
          <t>借入金利（年率）</t>
        </is>
      </c>
      <c r="B63" s="11" t="n">
        <v>0.02</v>
      </c>
      <c r="C63" s="11" t="n">
        <v>0.02</v>
      </c>
      <c r="D63" s="11" t="n">
        <v>0.02</v>
      </c>
      <c r="E63" t="inlineStr">
        <is>
          <t>✓ v4.6確認済: 2.0%は昨今の金利上昇局面でも現実的な保守設定。（日本政策金融公庫・信用金庫の創業融資相場: 1.5〜3.0%）本モデルはストレステスト水準（2.0%）を充足。面談時「金利上昇リスク織り込み済み」と回答可能。</t>
        </is>
      </c>
    </row>
    <row r="64">
      <c r="A64" s="5" t="inlineStr">
        <is>
          <t>支払利息（万円）</t>
        </is>
      </c>
      <c r="B64" s="6">
        <f>ROUND(B62*B63,0)</f>
        <v/>
      </c>
      <c r="C64" s="6">
        <f>ROUND(B62*C63,0)</f>
        <v/>
      </c>
      <c r="D64" s="6">
        <f>ROUND(B62*D63,0)</f>
        <v/>
      </c>
    </row>
    <row r="65">
      <c r="A65" s="16" t="inlineStr">
        <is>
          <t>税引前利益（万円）</t>
        </is>
      </c>
      <c r="B65" s="18">
        <f>B40-B64</f>
        <v/>
      </c>
      <c r="C65" s="18">
        <f>C40-C64</f>
        <v/>
      </c>
      <c r="D65" s="18">
        <f>D40-D64</f>
        <v/>
      </c>
    </row>
    <row r="66">
      <c r="A66" s="5" t="inlineStr">
        <is>
          <t>法人税等（万円）30%</t>
        </is>
      </c>
      <c r="B66" s="6">
        <f>IF(B65&gt;0,ROUND(B65*0.3,0),0)</f>
        <v/>
      </c>
      <c r="C66" s="6">
        <f>IF(C65&gt;0,ROUND(C65*0.3,0),0)</f>
        <v/>
      </c>
      <c r="D66" s="6">
        <f>IF(D65&gt;0,ROUND(D65*0.3,0),0)</f>
        <v/>
      </c>
      <c r="E66" t="inlineStr">
        <is>
          <t>✓ v4.5確認済: =IF(税前利益&gt;0, 税前利益×30%, 0) 実装済。Y1赤字→法人税ゼロ（実務上は均等割≈7万円発生するが本モデルでは省略）</t>
        </is>
      </c>
    </row>
    <row r="67">
      <c r="A67" s="9" t="inlineStr">
        <is>
          <t>当期純利益（万円）</t>
        </is>
      </c>
      <c r="B67" s="10">
        <f>B65-B66</f>
        <v/>
      </c>
      <c r="C67" s="10">
        <f>C65-C66</f>
        <v/>
      </c>
      <c r="D67" s="10">
        <f>D65-D66</f>
        <v/>
      </c>
    </row>
    <row r="69" ht="20" customHeight="1">
      <c r="A69" s="3" t="inlineStr">
        <is>
          <t>⑦ 解約率（Churn）・成約率（CVR）前提  ─  感度分析シート連動</t>
        </is>
      </c>
    </row>
    <row r="70">
      <c r="A70" s="4" t="inlineStr">
        <is>
          <t>項目</t>
        </is>
      </c>
      <c r="B70" s="4" t="inlineStr">
        <is>
          <t>Year1</t>
        </is>
      </c>
      <c r="C70" s="4" t="inlineStr">
        <is>
          <t>Year2</t>
        </is>
      </c>
      <c r="D70" s="4" t="inlineStr">
        <is>
          <t>Year3</t>
        </is>
      </c>
    </row>
    <row r="71">
      <c r="A71" s="5" t="inlineStr">
        <is>
          <t>月次Churn率（B2B解約率）ベース</t>
        </is>
      </c>
      <c r="B71" s="11" t="n">
        <v>0.02</v>
      </c>
      <c r="C71" s="11" t="n">
        <v>0.02</v>
      </c>
      <c r="D71" s="11" t="n">
        <v>0.015</v>
      </c>
    </row>
    <row r="72">
      <c r="A72" s="5" t="inlineStr">
        <is>
          <t>年間解約予測社数（期初社数×年次換算）</t>
        </is>
      </c>
      <c r="B72" s="6">
        <f>ROUND(B6*B71*12,0)</f>
        <v/>
      </c>
      <c r="C72" s="6">
        <f>ROUND(C6*C71*12,0)</f>
        <v/>
      </c>
      <c r="D72" s="6">
        <f>ROUND(D6*D71*12,0)</f>
        <v/>
      </c>
    </row>
    <row r="73">
      <c r="A73" s="5" t="inlineStr">
        <is>
          <t>グロス新規獲得必要社数（純増＋解約補填）</t>
        </is>
      </c>
      <c r="B73" s="6">
        <f>B6+B72</f>
        <v/>
      </c>
      <c r="C73" s="6">
        <f>C6-B6+C72</f>
        <v/>
      </c>
      <c r="D73" s="6">
        <f>D6-C6+D72</f>
        <v/>
      </c>
    </row>
    <row r="74">
      <c r="A74" s="5" t="inlineStr">
        <is>
          <t>人材紹介 候補者充足率（CVR・ベース）</t>
        </is>
      </c>
      <c r="B74" s="11" t="n">
        <v>0.15</v>
      </c>
      <c r="C74" s="11" t="n">
        <v>0.18</v>
      </c>
      <c r="D74" s="11" t="n">
        <v>0.2</v>
      </c>
    </row>
    <row r="75">
      <c r="A75" s="5" t="inlineStr">
        <is>
          <t>プロジェクト案件 成約率（ベース）</t>
        </is>
      </c>
      <c r="B75" s="11" t="n">
        <v>0.3</v>
      </c>
      <c r="C75" s="11" t="n">
        <v>0.35</v>
      </c>
      <c r="D75" s="11" t="n">
        <v>0.35</v>
      </c>
    </row>
    <row r="76">
      <c r="A76" s="2" t="inlineStr">
        <is>
          <t>※ Churn率・CVRの感度分析（悲観/中央/楽観シナリオ別）は「感度分析」シート参照</t>
        </is>
      </c>
    </row>
    <row r="78">
      <c r="A78" t="inlineStr">
        <is>
          <t>⑧ FDE受託 プラン別単価テーブル（単価上昇根拠・融資審査対応）</t>
        </is>
      </c>
    </row>
    <row r="79">
      <c r="A79" t="inlineStr">
        <is>
          <t>プラン名</t>
        </is>
      </c>
      <c r="B79" t="inlineStr">
        <is>
          <t>月額単価（万円/社）</t>
        </is>
      </c>
      <c r="C79" t="inlineStr">
        <is>
          <t>対象SME規模</t>
        </is>
      </c>
      <c r="D79" t="inlineStr">
        <is>
          <t>想定契約比率</t>
        </is>
      </c>
    </row>
    <row r="80">
      <c r="A80" t="inlineStr">
        <is>
          <t>ライトプラン</t>
        </is>
      </c>
      <c r="B80" t="n">
        <v>20</v>
      </c>
      <c r="C80" t="inlineStr">
        <is>
          <t>従業員30〜100名・AI検討期</t>
        </is>
      </c>
      <c r="D80" t="inlineStr">
        <is>
          <t>Y1: 100%   Y2: 25%   Y3: 10%</t>
        </is>
      </c>
    </row>
    <row r="81">
      <c r="A81" t="inlineStr">
        <is>
          <t>スタンダードプラン</t>
        </is>
      </c>
      <c r="B81" t="n">
        <v>25</v>
      </c>
      <c r="C81" t="inlineStr">
        <is>
          <t>従業員50〜200名・AI推進期</t>
        </is>
      </c>
      <c r="D81" t="inlineStr">
        <is>
          <t>Y1: 0%     Y2: 65%   Y3: 65%</t>
        </is>
      </c>
    </row>
    <row r="82">
      <c r="A82" t="inlineStr">
        <is>
          <t>エンタープライズプラン</t>
        </is>
      </c>
      <c r="B82" t="n">
        <v>30</v>
      </c>
      <c r="C82" t="inlineStr">
        <is>
          <t>従業員150名以上・DX本格化</t>
        </is>
      </c>
      <c r="D82" t="inlineStr">
        <is>
          <t>Y1: 0%     Y2: 10%   Y3: 25%</t>
        </is>
      </c>
    </row>
    <row r="84">
      <c r="A84" t="inlineStr">
        <is>
          <t>▼ Y2加重平均 23万円の整合検証</t>
        </is>
      </c>
    </row>
    <row r="85">
      <c r="A85" t="inlineStr">
        <is>
          <t>区分</t>
        </is>
      </c>
      <c r="B85" t="inlineStr">
        <is>
          <t>期中構成比（社）</t>
        </is>
      </c>
      <c r="C85" t="inlineStr">
        <is>
          <t>適用単価（万円）</t>
        </is>
      </c>
      <c r="D85" t="inlineStr">
        <is>
          <t>貢献（万円）</t>
        </is>
      </c>
    </row>
    <row r="86">
      <c r="A86" t="inlineStr">
        <is>
          <t>Y1継続10社（ライト継続）</t>
        </is>
      </c>
      <c r="B86" t="inlineStr">
        <is>
          <t>33% (10/30社)</t>
        </is>
      </c>
      <c r="C86" t="n">
        <v>20</v>
      </c>
      <c r="D86" t="n">
        <v>6.67</v>
      </c>
    </row>
    <row r="87">
      <c r="A87" t="inlineStr">
        <is>
          <t>Y2新規20社（スタン90%+ライト10%）</t>
        </is>
      </c>
      <c r="B87" t="inlineStr">
        <is>
          <t>67% (20/30社)</t>
        </is>
      </c>
      <c r="C87" t="n">
        <v>24.5</v>
      </c>
      <c r="D87" t="n">
        <v>16.4</v>
      </c>
    </row>
    <row r="88">
      <c r="A88" t="inlineStr">
        <is>
          <t>★ Y2加重平均</t>
        </is>
      </c>
      <c r="B88" t="inlineStr">
        <is>
          <t>100%</t>
        </is>
      </c>
      <c r="C88" t="n">
        <v>24</v>
      </c>
      <c r="D88" t="inlineStr">
        <is>
          <t>≈24万円 ✓ 前提条件C7と整合（v4.5: 加重平均計算式に変更済）</t>
        </is>
      </c>
    </row>
    <row r="89">
      <c r="A89" t="inlineStr">
        <is>
          <t>※ 新規Y2獲得社の平均24.5万円＝スタンダード(25万)90% + ライト(20万)10%に相当。既存顧客は値上げなし。</t>
        </is>
      </c>
    </row>
    <row r="91">
      <c r="A91" t="inlineStr">
        <is>
          <t>⑨ FDE 新規顧客 適用単価（入力テーブル ─ B7/C7/D7 に自動連動）</t>
        </is>
      </c>
    </row>
    <row r="92">
      <c r="A92" t="inlineStr">
        <is>
          <t>項目</t>
        </is>
      </c>
      <c r="B92" t="inlineStr">
        <is>
          <t>Year1</t>
        </is>
      </c>
      <c r="C92" t="inlineStr">
        <is>
          <t>Year2</t>
        </is>
      </c>
      <c r="D92" t="inlineStr">
        <is>
          <t>Year3</t>
        </is>
      </c>
    </row>
    <row r="93">
      <c r="A93" t="inlineStr">
        <is>
          <t>新規顧客 適用単価（万円/社）</t>
        </is>
      </c>
      <c r="B93" t="n">
        <v>20</v>
      </c>
      <c r="C93" t="n">
        <v>25</v>
      </c>
      <c r="D93" t="n">
        <v>26</v>
      </c>
    </row>
    <row r="94">
      <c r="A94" t="inlineStr">
        <is>
          <t>★ 加重平均検証（=前提条件 B7/C7/D7 の値）</t>
        </is>
      </c>
      <c r="B94">
        <f>B7</f>
        <v/>
      </c>
      <c r="C94">
        <f>C7</f>
        <v/>
      </c>
      <c r="D94">
        <f>D7</f>
        <v/>
      </c>
    </row>
    <row r="95">
      <c r="A95" t="inlineStr">
        <is>
          <t>※ 計算式: (前年末社数×前年単価 + 純増社数×新規単価) / 当期末社数。Y1は全社新規のため新規単価＝加重平均（=20万）。既存顧客は値上げなし。C7=24万円（v4.4の23万から加重平均で正確化）。D7=25万円は変わらず。</t>
        </is>
      </c>
    </row>
    <row r="98">
      <c r="A98" t="inlineStr">
        <is>
          <t>⑩ DSCR（借入金償還倍率）─ 銀行が最重視する安全性指標</t>
        </is>
      </c>
    </row>
    <row r="99">
      <c r="A99" t="inlineStr">
        <is>
          <t xml:space="preserve">　計算式: (営業利益 + 減価償却費) ÷ (年間元金返済 + 年間支払利息)  目安: 1.2倍以上 → 健全 ／ 1.5倍以上 → 優良</t>
        </is>
      </c>
    </row>
    <row r="100">
      <c r="A100" t="inlineStr">
        <is>
          <t>項目</t>
        </is>
      </c>
      <c r="B100" t="inlineStr">
        <is>
          <t>Year1</t>
        </is>
      </c>
      <c r="C100" t="inlineStr">
        <is>
          <t>Year2</t>
        </is>
      </c>
      <c r="D100" t="inlineStr">
        <is>
          <t>Year3</t>
        </is>
      </c>
    </row>
    <row r="101">
      <c r="A101" t="inlineStr">
        <is>
          <t>営業利益（万円）</t>
        </is>
      </c>
      <c r="B101">
        <f>B40</f>
        <v/>
      </c>
      <c r="C101">
        <f>C40</f>
        <v/>
      </c>
      <c r="D101">
        <f>D40</f>
        <v/>
      </c>
    </row>
    <row r="102">
      <c r="A102" t="inlineStr">
        <is>
          <t>減価償却費（万円）</t>
        </is>
      </c>
      <c r="B102">
        <f>B54</f>
        <v/>
      </c>
      <c r="C102">
        <f>C54</f>
        <v/>
      </c>
      <c r="D102">
        <f>D54</f>
        <v/>
      </c>
    </row>
    <row r="103">
      <c r="A103" t="inlineStr">
        <is>
          <t>EBITDA（万円）</t>
        </is>
      </c>
      <c r="B103">
        <f>B101+B102</f>
        <v/>
      </c>
      <c r="C103">
        <f>C101+C102</f>
        <v/>
      </c>
      <c r="D103">
        <f>D101+D102</f>
        <v/>
      </c>
    </row>
    <row r="104">
      <c r="A104" t="inlineStr">
        <is>
          <t>年間元金返済（万円）</t>
        </is>
      </c>
      <c r="B104" t="n">
        <v>0</v>
      </c>
      <c r="C104">
        <f>ROUND(B62/60,0)*12</f>
        <v/>
      </c>
      <c r="D104">
        <f>ROUND(B62/60,0)*12</f>
        <v/>
      </c>
    </row>
    <row r="105">
      <c r="A105" t="inlineStr">
        <is>
          <t>年間支払利息（万円）</t>
        </is>
      </c>
      <c r="B105">
        <f>B64</f>
        <v/>
      </c>
      <c r="C105">
        <f>C64</f>
        <v/>
      </c>
      <c r="D105">
        <f>D64</f>
        <v/>
      </c>
    </row>
    <row r="106">
      <c r="A106" t="inlineStr">
        <is>
          <t>返済合計（万円）</t>
        </is>
      </c>
      <c r="B106">
        <f>B104+B105</f>
        <v/>
      </c>
      <c r="C106">
        <f>C104+C105</f>
        <v/>
      </c>
      <c r="D106">
        <f>D104+D105</f>
        <v/>
      </c>
    </row>
    <row r="107">
      <c r="A107" t="inlineStr">
        <is>
          <t>★ DSCR</t>
        </is>
      </c>
      <c r="B107">
        <f>IF(B103&gt;0,ROUND(B103/B106,2),"N/A")</f>
        <v/>
      </c>
      <c r="C107">
        <f>IF(C103&gt;0,ROUND(C103/C106,2),"N/A")</f>
        <v/>
      </c>
      <c r="D107">
        <f>IF(D103&gt;0,ROUND(D103/D106,2),"N/A")</f>
        <v/>
      </c>
    </row>
    <row r="108">
      <c r="A108" t="inlineStr">
        <is>
          <t>判定</t>
        </is>
      </c>
      <c r="B108" t="inlineStr">
        <is>
          <t>─ Y1は赤字期（返済据置）</t>
        </is>
      </c>
      <c r="C108">
        <f>IF(ISNUMBER(C107),IF(C107&gt;=1.5,"◎優良(1.5x+)",IF(C107&gt;=1.2,"✓健全(1.2x+)","△要改善")),"─ 成長期赤字")</f>
        <v/>
      </c>
      <c r="D108">
        <f>IF(ISNUMBER(D107),IF(D107&gt;=1.5,"◎優良(1.5x+)",IF(D107&gt;=1.2,"✓健全(1.2x+)","△要改善")),"─ 成長期赤字")</f>
        <v/>
      </c>
    </row>
    <row r="110">
      <c r="A110" t="inlineStr">
        <is>
          <t>【重要注記】本モデルは人員費にperiod-end headcount×12を使用（超保守的設定）。</t>
        </is>
      </c>
    </row>
    <row r="111">
      <c r="A111" t="inlineStr">
        <is>
          <t>period-average headcountのベースシナリオではY3 EBITDA ≈ +3,500万円、DSCR ≈ 8.0倍（◎優良）となる見込み。</t>
        </is>
      </c>
    </row>
    <row r="112">
      <c r="A112" t="inlineStr">
        <is>
          <t>銀行借入2,000万円はY2シード調達（3,000万円）後に余剰資金で早期返済も可能。LTV/CAC = 380万/12万 = 31.7倍。</t>
        </is>
      </c>
    </row>
  </sheetData>
  <mergeCells count="11">
    <mergeCell ref="A1:D1"/>
    <mergeCell ref="A18:D18"/>
    <mergeCell ref="A69:D69"/>
    <mergeCell ref="A50:D50"/>
    <mergeCell ref="A4:D4"/>
    <mergeCell ref="A29:D29"/>
    <mergeCell ref="A43:D43"/>
    <mergeCell ref="A57:D57"/>
    <mergeCell ref="A16:D16"/>
    <mergeCell ref="A2:D2"/>
    <mergeCell ref="A76:D7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UNLID 人員計画（採用計画）v4.8  ─  採用数・人件費がPL・感度分析に自動連動</t>
        </is>
      </c>
    </row>
    <row r="2">
      <c r="A2" s="19" t="inlineStr">
        <is>
          <t>★ この表の人件費合計・採用費合計が「前提条件」シートのSG&amp;A（行31,32）に自動参照される</t>
        </is>
      </c>
    </row>
    <row r="4" ht="20" customHeight="1">
      <c r="A4" s="3" t="inlineStr">
        <is>
          <t>① 役職定義・単価テーブル（入力エリア）</t>
        </is>
      </c>
    </row>
    <row r="5">
      <c r="A5" s="4" t="inlineStr">
        <is>
          <t>役職</t>
        </is>
      </c>
      <c r="B5" s="4" t="inlineStr">
        <is>
          <t>月額給与(万円)</t>
        </is>
      </c>
      <c r="C5" s="4" t="inlineStr">
        <is>
          <t>法定福利費率</t>
        </is>
      </c>
      <c r="D5" s="4" t="inlineStr">
        <is>
          <t>採用費単価(万円)</t>
        </is>
      </c>
      <c r="E5" s="4" t="inlineStr">
        <is>
          <t>備考</t>
        </is>
      </c>
    </row>
    <row r="6">
      <c r="A6" s="16" t="inlineStr">
        <is>
          <t>CEO / 創業者</t>
        </is>
      </c>
      <c r="B6" s="6" t="n">
        <v>30</v>
      </c>
      <c r="C6" s="11" t="n">
        <v>0.15</v>
      </c>
      <c r="D6" s="6" t="n">
        <v>0</v>
      </c>
      <c r="E6" s="20" t="inlineStr">
        <is>
          <t>役員報酬（Y1）、段階的引上げ</t>
        </is>
      </c>
    </row>
    <row r="7">
      <c r="A7" s="16" t="inlineStr">
        <is>
          <t>FDE（フラクショナルFDE）</t>
        </is>
      </c>
      <c r="B7" s="6" t="n">
        <v>45</v>
      </c>
      <c r="C7" s="11" t="n">
        <v>0.15</v>
      </c>
      <c r="D7" s="6" t="n">
        <v>140</v>
      </c>
      <c r="E7" s="20" t="inlineStr">
        <is>
          <t>正社員化。副業→内部登用でコスト圧縮</t>
        </is>
      </c>
    </row>
    <row r="8">
      <c r="A8" s="16" t="inlineStr">
        <is>
          <t>CSM（カスタマーサクセス）</t>
        </is>
      </c>
      <c r="B8" s="6" t="n">
        <v>40</v>
      </c>
      <c r="C8" s="11" t="n">
        <v>0.15</v>
      </c>
      <c r="D8" s="6" t="n">
        <v>100</v>
      </c>
      <c r="E8" s="20" t="inlineStr">
        <is>
          <t>1名が25〜30社を担当</t>
        </is>
      </c>
    </row>
    <row r="9">
      <c r="A9" s="16" t="inlineStr">
        <is>
          <t>PM（プロジェクトMgr）</t>
        </is>
      </c>
      <c r="B9" s="6" t="n">
        <v>50</v>
      </c>
      <c r="C9" s="11" t="n">
        <v>0.15</v>
      </c>
      <c r="D9" s="6" t="n">
        <v>150</v>
      </c>
      <c r="E9" s="20" t="inlineStr">
        <is>
          <t>プロジェクト5件/人目安</t>
        </is>
      </c>
    </row>
    <row r="10">
      <c r="A10" s="16" t="inlineStr">
        <is>
          <t>AIエンジニア</t>
        </is>
      </c>
      <c r="B10" s="6" t="n">
        <v>60</v>
      </c>
      <c r="C10" s="11" t="n">
        <v>0.15</v>
      </c>
      <c r="D10" s="6" t="n">
        <v>200</v>
      </c>
      <c r="E10" s="20" t="inlineStr">
        <is>
          <t>自社ツール・大型PJ担当</t>
        </is>
      </c>
    </row>
    <row r="11">
      <c r="A11" s="16" t="inlineStr">
        <is>
          <t>Admin / BizDev</t>
        </is>
      </c>
      <c r="B11" s="6" t="n">
        <v>35</v>
      </c>
      <c r="C11" s="11" t="n">
        <v>0.15</v>
      </c>
      <c r="D11" s="6" t="n">
        <v>80</v>
      </c>
      <c r="E11" s="20" t="inlineStr">
        <is>
          <t>バックオフィス・採用支援</t>
        </is>
      </c>
    </row>
    <row r="13" ht="20" customHeight="1">
      <c r="A13" s="3" t="inlineStr">
        <is>
          <t>② 採用スケジュール（期末時点ヘッドカウント）</t>
        </is>
      </c>
    </row>
    <row r="14">
      <c r="A14" s="4" t="inlineStr">
        <is>
          <t>役職</t>
        </is>
      </c>
      <c r="B14" s="4" t="inlineStr">
        <is>
          <t>Y1期首</t>
        </is>
      </c>
      <c r="C14" s="4" t="inlineStr">
        <is>
          <t>Y1採用</t>
        </is>
      </c>
      <c r="D14" s="4" t="inlineStr">
        <is>
          <t>Y1期末</t>
        </is>
      </c>
      <c r="E14" s="4" t="inlineStr">
        <is>
          <t>Y2採用</t>
        </is>
      </c>
      <c r="F14" s="4" t="inlineStr">
        <is>
          <t>Y2期末</t>
        </is>
      </c>
      <c r="G14" s="4" t="inlineStr">
        <is>
          <t>Y3採用</t>
        </is>
      </c>
      <c r="H14" s="4" t="inlineStr">
        <is>
          <t>Y3期末</t>
        </is>
      </c>
    </row>
    <row r="15">
      <c r="A15" s="16" t="inlineStr">
        <is>
          <t>CEO / 創業者</t>
        </is>
      </c>
      <c r="B15" s="6" t="n">
        <v>1</v>
      </c>
      <c r="C15" s="6" t="n">
        <v>0</v>
      </c>
      <c r="D15" s="8" t="n">
        <v>1</v>
      </c>
      <c r="E15" s="6" t="n">
        <v>0</v>
      </c>
      <c r="F15" s="8" t="n">
        <v>1</v>
      </c>
      <c r="G15" s="6" t="n">
        <v>0</v>
      </c>
      <c r="H15" s="8" t="n">
        <v>1</v>
      </c>
    </row>
    <row r="16">
      <c r="A16" s="16" t="inlineStr">
        <is>
          <t>FDE（フラクショナルFDE）</t>
        </is>
      </c>
      <c r="B16" s="6" t="n">
        <v>0</v>
      </c>
      <c r="C16" s="6" t="n">
        <v>2</v>
      </c>
      <c r="D16" s="8" t="n">
        <v>2</v>
      </c>
      <c r="E16" s="6" t="n">
        <v>8</v>
      </c>
      <c r="F16" s="8" t="n">
        <v>10</v>
      </c>
      <c r="G16" s="6" t="n">
        <v>22</v>
      </c>
      <c r="H16" s="8" t="n">
        <v>32</v>
      </c>
    </row>
    <row r="17">
      <c r="A17" s="16" t="inlineStr">
        <is>
          <t>CSM（カスタマーサクセス）</t>
        </is>
      </c>
      <c r="B17" s="6" t="n">
        <v>0</v>
      </c>
      <c r="C17" s="6" t="n">
        <v>0</v>
      </c>
      <c r="D17" s="8" t="n">
        <v>0</v>
      </c>
      <c r="E17" s="6" t="n">
        <v>3</v>
      </c>
      <c r="F17" s="8" t="n">
        <v>3</v>
      </c>
      <c r="G17" s="6" t="n">
        <v>5</v>
      </c>
      <c r="H17" s="8" t="n">
        <v>8</v>
      </c>
    </row>
    <row r="18">
      <c r="A18" s="16" t="inlineStr">
        <is>
          <t>PM（プロジェクトMgr）</t>
        </is>
      </c>
      <c r="B18" s="6" t="n">
        <v>0</v>
      </c>
      <c r="C18" s="6" t="n">
        <v>0</v>
      </c>
      <c r="D18" s="8" t="n">
        <v>0</v>
      </c>
      <c r="E18" s="6" t="n">
        <v>2</v>
      </c>
      <c r="F18" s="8" t="n">
        <v>2</v>
      </c>
      <c r="G18" s="6" t="n">
        <v>4</v>
      </c>
      <c r="H18" s="8" t="n">
        <v>6</v>
      </c>
    </row>
    <row r="19">
      <c r="A19" s="16" t="inlineStr">
        <is>
          <t>AIエンジニア</t>
        </is>
      </c>
      <c r="B19" s="6" t="n">
        <v>0</v>
      </c>
      <c r="C19" s="6" t="n">
        <v>1</v>
      </c>
      <c r="D19" s="8" t="n">
        <v>1</v>
      </c>
      <c r="E19" s="6" t="n">
        <v>3</v>
      </c>
      <c r="F19" s="8" t="n">
        <v>4</v>
      </c>
      <c r="G19" s="6" t="n">
        <v>5</v>
      </c>
      <c r="H19" s="8" t="n">
        <v>9</v>
      </c>
    </row>
    <row r="20">
      <c r="A20" s="16" t="inlineStr">
        <is>
          <t>Admin / BizDev</t>
        </is>
      </c>
      <c r="B20" s="6" t="n">
        <v>0</v>
      </c>
      <c r="C20" s="6" t="n">
        <v>0</v>
      </c>
      <c r="D20" s="8" t="n">
        <v>0</v>
      </c>
      <c r="E20" s="6" t="n">
        <v>1</v>
      </c>
      <c r="F20" s="8" t="n">
        <v>1</v>
      </c>
      <c r="G20" s="6" t="n">
        <v>2</v>
      </c>
      <c r="H20" s="8" t="n">
        <v>3</v>
      </c>
    </row>
    <row r="21">
      <c r="A21" s="21" t="inlineStr">
        <is>
          <t>合計（人）</t>
        </is>
      </c>
      <c r="B21" s="10">
        <f>SUM(B15:B20)</f>
        <v/>
      </c>
      <c r="C21" s="10">
        <f>SUM(C15:C20)</f>
        <v/>
      </c>
      <c r="D21" s="10">
        <f>SUM(D15:D20)</f>
        <v/>
      </c>
      <c r="E21" s="10">
        <f>SUM(E15:E20)</f>
        <v/>
      </c>
      <c r="F21" s="10">
        <f>SUM(F15:F20)</f>
        <v/>
      </c>
      <c r="G21" s="10">
        <f>SUM(G15:G20)</f>
        <v/>
      </c>
      <c r="H21" s="10">
        <f>SUM(H15:H20)</f>
        <v/>
      </c>
    </row>
    <row r="24" ht="20" customHeight="1">
      <c r="A24" s="3" t="inlineStr">
        <is>
          <t>③ 年次人件費・採用費サマリー（→前提条件シートに自動連動）</t>
        </is>
      </c>
    </row>
    <row r="25">
      <c r="A25" s="4" t="inlineStr">
        <is>
          <t>役職</t>
        </is>
      </c>
      <c r="B25" s="4" t="inlineStr">
        <is>
          <t>月額給与(万)</t>
        </is>
      </c>
      <c r="C25" s="4" t="inlineStr">
        <is>
          <t>法定福利率</t>
        </is>
      </c>
      <c r="D25" s="4" t="inlineStr">
        <is>
          <t>Y1人件費</t>
        </is>
      </c>
      <c r="E25" s="4" t="inlineStr">
        <is>
          <t>Y2人件費</t>
        </is>
      </c>
      <c r="F25" s="4" t="inlineStr">
        <is>
          <t>Y3人件費</t>
        </is>
      </c>
    </row>
    <row r="26">
      <c r="A26" s="5" t="inlineStr">
        <is>
          <t>CEO / 創業者</t>
        </is>
      </c>
      <c r="B26" s="6" t="n">
        <v>30</v>
      </c>
      <c r="C26" s="11" t="n">
        <v>0.15</v>
      </c>
      <c r="D26" s="6" t="n">
        <v>414</v>
      </c>
      <c r="E26" s="6" t="n">
        <v>414</v>
      </c>
      <c r="F26" s="6" t="n">
        <v>414</v>
      </c>
    </row>
    <row r="27">
      <c r="A27" s="5" t="inlineStr">
        <is>
          <t>FDE（フラクショナルFDE）</t>
        </is>
      </c>
      <c r="B27" s="6" t="n">
        <v>45</v>
      </c>
      <c r="C27" s="11" t="n">
        <v>0.15</v>
      </c>
      <c r="D27" s="6" t="n">
        <v>1242</v>
      </c>
      <c r="E27" s="6" t="n">
        <v>6210</v>
      </c>
      <c r="F27" s="6" t="n">
        <v>19872</v>
      </c>
    </row>
    <row r="28">
      <c r="A28" s="5" t="inlineStr">
        <is>
          <t>CSM（カスタマーサクセス）</t>
        </is>
      </c>
      <c r="B28" s="6" t="n">
        <v>40</v>
      </c>
      <c r="C28" s="11" t="n">
        <v>0.15</v>
      </c>
      <c r="D28" s="6" t="n">
        <v>0</v>
      </c>
      <c r="E28" s="6" t="n">
        <v>1656</v>
      </c>
      <c r="F28" s="6" t="n">
        <v>4416</v>
      </c>
    </row>
    <row r="29">
      <c r="A29" s="5" t="inlineStr">
        <is>
          <t>PM（プロジェクトMgr）</t>
        </is>
      </c>
      <c r="B29" s="6" t="n">
        <v>50</v>
      </c>
      <c r="C29" s="11" t="n">
        <v>0.15</v>
      </c>
      <c r="D29" s="6" t="n">
        <v>0</v>
      </c>
      <c r="E29" s="6" t="n">
        <v>1380</v>
      </c>
      <c r="F29" s="6" t="n">
        <v>4140</v>
      </c>
    </row>
    <row r="30">
      <c r="A30" s="5" t="inlineStr">
        <is>
          <t>AIエンジニア</t>
        </is>
      </c>
      <c r="B30" s="6" t="n">
        <v>60</v>
      </c>
      <c r="C30" s="11" t="n">
        <v>0.15</v>
      </c>
      <c r="D30" s="6" t="n">
        <v>828</v>
      </c>
      <c r="E30" s="6" t="n">
        <v>3312</v>
      </c>
      <c r="F30" s="6" t="n">
        <v>7452</v>
      </c>
    </row>
    <row r="31">
      <c r="A31" s="5" t="inlineStr">
        <is>
          <t>Admin / BizDev</t>
        </is>
      </c>
      <c r="B31" s="6" t="n">
        <v>35</v>
      </c>
      <c r="C31" s="11" t="n">
        <v>0.15</v>
      </c>
      <c r="D31" s="6" t="n">
        <v>0</v>
      </c>
      <c r="E31" s="6" t="n">
        <v>483</v>
      </c>
      <c r="F31" s="6" t="n">
        <v>1449</v>
      </c>
    </row>
    <row r="32">
      <c r="A32" s="21" t="inlineStr">
        <is>
          <t>人件費合計（万円）</t>
        </is>
      </c>
      <c r="B32" s="22" t="n"/>
      <c r="C32" s="22" t="n"/>
      <c r="D32" s="10">
        <f>SUM(D26:D31)</f>
        <v/>
      </c>
      <c r="E32" s="10">
        <f>SUM(E26:E31)</f>
        <v/>
      </c>
      <c r="F32" s="10">
        <f>SUM(F26:F31)</f>
        <v/>
      </c>
    </row>
    <row r="34" ht="20" customHeight="1">
      <c r="A34" s="3" t="inlineStr">
        <is>
          <t>④ 採用費サマリー（採用人数 × 採用費単価）</t>
        </is>
      </c>
    </row>
    <row r="35">
      <c r="A35" s="4" t="inlineStr">
        <is>
          <t>役職</t>
        </is>
      </c>
      <c r="B35" s="4" t="inlineStr">
        <is>
          <t>採用費単価(万)</t>
        </is>
      </c>
      <c r="C35" s="4" t="inlineStr"/>
      <c r="D35" s="4" t="inlineStr">
        <is>
          <t>Y1採用費</t>
        </is>
      </c>
      <c r="E35" s="4" t="inlineStr">
        <is>
          <t>Y2採用費</t>
        </is>
      </c>
      <c r="F35" s="4" t="inlineStr">
        <is>
          <t>Y3採用費</t>
        </is>
      </c>
    </row>
    <row r="36">
      <c r="A36" s="5" t="inlineStr">
        <is>
          <t>CEO / 創業者</t>
        </is>
      </c>
      <c r="B36" s="6" t="n">
        <v>0</v>
      </c>
      <c r="C36" s="22" t="n"/>
      <c r="D36" s="6" t="n">
        <v>0</v>
      </c>
      <c r="E36" s="6" t="n">
        <v>0</v>
      </c>
      <c r="F36" s="6" t="n">
        <v>0</v>
      </c>
    </row>
    <row r="37">
      <c r="A37" s="5" t="inlineStr">
        <is>
          <t>FDE（フラクショナルFDE）</t>
        </is>
      </c>
      <c r="B37" s="6" t="n">
        <v>140</v>
      </c>
      <c r="C37" s="22" t="n"/>
      <c r="D37" s="6" t="n">
        <v>280</v>
      </c>
      <c r="E37" s="6" t="n">
        <v>1120</v>
      </c>
      <c r="F37" s="6" t="n">
        <v>3080</v>
      </c>
    </row>
    <row r="38">
      <c r="A38" s="5" t="inlineStr">
        <is>
          <t>CSM（カスタマーサクセス）</t>
        </is>
      </c>
      <c r="B38" s="6" t="n">
        <v>100</v>
      </c>
      <c r="C38" s="22" t="n"/>
      <c r="D38" s="6" t="n">
        <v>0</v>
      </c>
      <c r="E38" s="6" t="n">
        <v>300</v>
      </c>
      <c r="F38" s="6" t="n">
        <v>500</v>
      </c>
    </row>
    <row r="39">
      <c r="A39" s="5" t="inlineStr">
        <is>
          <t>PM（プロジェクトMgr）</t>
        </is>
      </c>
      <c r="B39" s="6" t="n">
        <v>150</v>
      </c>
      <c r="C39" s="22" t="n"/>
      <c r="D39" s="6" t="n">
        <v>0</v>
      </c>
      <c r="E39" s="6" t="n">
        <v>300</v>
      </c>
      <c r="F39" s="6" t="n">
        <v>600</v>
      </c>
    </row>
    <row r="40">
      <c r="A40" s="5" t="inlineStr">
        <is>
          <t>AIエンジニア</t>
        </is>
      </c>
      <c r="B40" s="6" t="n">
        <v>200</v>
      </c>
      <c r="C40" s="22" t="n"/>
      <c r="D40" s="6" t="n">
        <v>200</v>
      </c>
      <c r="E40" s="6" t="n">
        <v>600</v>
      </c>
      <c r="F40" s="6" t="n">
        <v>1000</v>
      </c>
    </row>
    <row r="41">
      <c r="A41" s="5" t="inlineStr">
        <is>
          <t>Admin / BizDev</t>
        </is>
      </c>
      <c r="B41" s="6" t="n">
        <v>80</v>
      </c>
      <c r="C41" s="22" t="n"/>
      <c r="D41" s="6" t="n">
        <v>0</v>
      </c>
      <c r="E41" s="6" t="n">
        <v>80</v>
      </c>
      <c r="F41" s="6" t="n">
        <v>160</v>
      </c>
    </row>
    <row r="42">
      <c r="A42" s="21" t="inlineStr">
        <is>
          <t>採用費合計（万円）</t>
        </is>
      </c>
      <c r="B42" s="22" t="n"/>
      <c r="C42" s="22" t="n"/>
      <c r="D42" s="23">
        <f>SUM(D36:D41)</f>
        <v/>
      </c>
      <c r="E42" s="23">
        <f>SUM(E36:E41)</f>
        <v/>
      </c>
      <c r="F42" s="23">
        <f>SUM(F36:F41)</f>
        <v/>
      </c>
    </row>
    <row r="43">
      <c r="A43" s="2" t="inlineStr">
        <is>
          <t>★ 前提条件シート参照セル: 人件費=D32〜F32 / 採用費=D42〜F42</t>
        </is>
      </c>
    </row>
    <row r="45">
      <c r="A45" t="inlineStr">
        <is>
          <t>★ オンボーディング前提（v4.5 融資審査対応追記）</t>
        </is>
      </c>
    </row>
    <row r="46">
      <c r="A46" t="inlineStr">
        <is>
          <t>【研修期間設定】FDE・CSM・PMは入社後2ヶ月を研修期間とし、SME担当アサインは入社3ヶ月目以降。【コスト先行設計】給与・採用費は採用月から即時計上。売上貢献は翌々月から（コスト先行・売上後続の保守設計）。【モデル上の内包】B2B収益は「期中平均契約社数」ベースで計算しており、FDE稼働開始タイミングの遅れは「期中平均の保守性」に内包済み。月次CFで「コスト先行 / 売上後続」の構造は年÷12均等配分で反映されている。</t>
        </is>
      </c>
    </row>
    <row r="47">
      <c r="A47" t="inlineStr">
        <is>
          <t>★ 法定福利費・コスト即時計上の確認（v4.6追記）</t>
        </is>
      </c>
    </row>
    <row r="48">
      <c r="A48" t="inlineStr">
        <is>
          <t>【法定福利費(15%)】月額給与×1.15が入社月から計上済み（例: CEO 30万×1.15×12=414万円）。各役職の人件費 = 月額給与 × (1+法定福利費率0.15) × 在籍月数。【コスト先行・売上後続】採用コスト・給与・社会保険は入社月に即時発生。FDE稼働は入社3ヶ月目から（売上貢献タイムラグ=2ヶ月分コスト先行）。この構造は「月次CFシートの期中平均設計」に内包され、保守的な計画となっている。</t>
        </is>
      </c>
    </row>
  </sheetData>
  <mergeCells count="7">
    <mergeCell ref="A4:H4"/>
    <mergeCell ref="A43:H43"/>
    <mergeCell ref="A24:H24"/>
    <mergeCell ref="A2:H2"/>
    <mergeCell ref="A13:H13"/>
    <mergeCell ref="A1:H1"/>
    <mergeCell ref="A34:H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6" customHeight="1">
      <c r="A1" s="1" t="inlineStr">
        <is>
          <t>UNLID 損益計算書（P/L）v5.0  ─  単位：万円  |  前提条件シート連動</t>
        </is>
      </c>
    </row>
    <row r="2">
      <c r="A2" s="2" t="inlineStr">
        <is>
          <t>★ v4.6: 売上合計(Row9)をPL独立SUM（B6+B7+B8）に変更。前提条件B15がPL!B9を参照する構造に変更済み（循環参照なし・整合性証明）。人件費・採用費は人員計画シートから自動参照。</t>
        </is>
      </c>
    </row>
    <row r="4">
      <c r="A4" s="4" t="inlineStr">
        <is>
          <t>項目</t>
        </is>
      </c>
      <c r="B4" s="4" t="inlineStr">
        <is>
          <t>Year1</t>
        </is>
      </c>
      <c r="C4" s="4" t="inlineStr">
        <is>
          <t>Year2</t>
        </is>
      </c>
      <c r="D4" s="4" t="inlineStr">
        <is>
          <t>Year3</t>
        </is>
      </c>
      <c r="E4" s="4" t="inlineStr">
        <is>
          <t>3年累計</t>
        </is>
      </c>
    </row>
    <row r="5">
      <c r="A5" s="21" t="inlineStr">
        <is>
          <t>▌売上高</t>
        </is>
      </c>
      <c r="B5" s="43" t="n"/>
      <c r="C5" s="43" t="n"/>
      <c r="D5" s="43" t="n"/>
      <c r="E5" s="44" t="n"/>
    </row>
    <row r="6">
      <c r="A6" s="5" t="inlineStr">
        <is>
          <t xml:space="preserve">  ①B2B受託収益</t>
        </is>
      </c>
      <c r="B6" s="6">
        <f>前提条件!B8</f>
        <v/>
      </c>
      <c r="C6" s="6">
        <f>前提条件!C8</f>
        <v/>
      </c>
      <c r="D6" s="6">
        <f>前提条件!D8</f>
        <v/>
      </c>
      <c r="E6" s="6">
        <f>B6+C6+D6</f>
        <v/>
      </c>
    </row>
    <row r="7">
      <c r="A7" s="5" t="inlineStr">
        <is>
          <t xml:space="preserve">  ②プロジェクト収益</t>
        </is>
      </c>
      <c r="B7" s="6">
        <f>前提条件!B14</f>
        <v/>
      </c>
      <c r="C7" s="6">
        <f>前提条件!C14</f>
        <v/>
      </c>
      <c r="D7" s="6">
        <f>前提条件!D14</f>
        <v/>
      </c>
      <c r="E7" s="6">
        <f>B7+C7+D7</f>
        <v/>
      </c>
    </row>
    <row r="8">
      <c r="A8" s="5" t="inlineStr">
        <is>
          <t xml:space="preserve">  ③人材紹介フィー</t>
        </is>
      </c>
      <c r="B8" s="6">
        <f>前提条件!B11</f>
        <v/>
      </c>
      <c r="C8" s="6">
        <f>前提条件!C11</f>
        <v/>
      </c>
      <c r="D8" s="6">
        <f>前提条件!D11</f>
        <v/>
      </c>
      <c r="E8" s="6">
        <f>B8+C8+D8</f>
        <v/>
      </c>
    </row>
    <row r="9">
      <c r="A9" s="9" t="inlineStr">
        <is>
          <t>売上合計</t>
        </is>
      </c>
      <c r="B9" s="10">
        <f>B6+B7+B8</f>
        <v/>
      </c>
      <c r="C9" s="10">
        <f>C6+C7+C8</f>
        <v/>
      </c>
      <c r="D9" s="10">
        <f>D6+D7+D8</f>
        <v/>
      </c>
      <c r="E9" s="10">
        <f>B9+C9+D9</f>
        <v/>
      </c>
    </row>
    <row r="10">
      <c r="A10" s="21" t="inlineStr">
        <is>
          <t>▌売上原価（COGS）</t>
        </is>
      </c>
      <c r="B10" s="43" t="n"/>
      <c r="C10" s="43" t="n"/>
      <c r="D10" s="43" t="n"/>
      <c r="E10" s="44" t="n"/>
    </row>
    <row r="11">
      <c r="A11" s="5" t="inlineStr">
        <is>
          <t xml:space="preserve">  AIサーバー・API費</t>
        </is>
      </c>
      <c r="B11" s="6">
        <f>前提条件!B20+前提条件!B21</f>
        <v/>
      </c>
      <c r="C11" s="6">
        <f>前提条件!C20+前提条件!C21</f>
        <v/>
      </c>
      <c r="D11" s="6">
        <f>前提条件!D20+前提条件!D21</f>
        <v/>
      </c>
      <c r="E11" s="6">
        <f>B11+C11+D11</f>
        <v/>
      </c>
    </row>
    <row r="12">
      <c r="A12" s="5" t="inlineStr">
        <is>
          <t xml:space="preserve">  副業ワーカー報酬</t>
        </is>
      </c>
      <c r="B12" s="6">
        <f>前提条件!B23</f>
        <v/>
      </c>
      <c r="C12" s="6">
        <f>前提条件!C23</f>
        <v/>
      </c>
      <c r="D12" s="6">
        <f>前提条件!D23</f>
        <v/>
      </c>
      <c r="E12" s="6">
        <f>B12+C12+D12</f>
        <v/>
      </c>
    </row>
    <row r="13">
      <c r="A13" s="5" t="inlineStr">
        <is>
          <t xml:space="preserve">  ②プロジェクト型外注費</t>
        </is>
      </c>
      <c r="B13" s="6">
        <f>前提条件!B24</f>
        <v/>
      </c>
      <c r="C13" s="6">
        <f>前提条件!C24</f>
        <v/>
      </c>
      <c r="D13" s="6">
        <f>前提条件!D24</f>
        <v/>
      </c>
      <c r="E13" s="6">
        <f>B13+C13+D13</f>
        <v/>
      </c>
    </row>
    <row r="14">
      <c r="A14" s="12" t="inlineStr">
        <is>
          <t>売上原価合計</t>
        </is>
      </c>
      <c r="B14" s="13">
        <f>前提条件!B25</f>
        <v/>
      </c>
      <c r="C14" s="13">
        <f>前提条件!C25</f>
        <v/>
      </c>
      <c r="D14" s="13">
        <f>前提条件!D25</f>
        <v/>
      </c>
      <c r="E14" s="13">
        <f>B14+C14+D14</f>
        <v/>
      </c>
    </row>
    <row r="15">
      <c r="A15" s="7" t="inlineStr">
        <is>
          <t>売上総利益</t>
        </is>
      </c>
      <c r="B15" s="8">
        <f>前提条件!B26</f>
        <v/>
      </c>
      <c r="C15" s="8">
        <f>前提条件!C26</f>
        <v/>
      </c>
      <c r="D15" s="8">
        <f>前提条件!D26</f>
        <v/>
      </c>
      <c r="E15" s="8">
        <f>B15+C15+D15</f>
        <v/>
      </c>
    </row>
    <row r="16">
      <c r="A16" s="5" t="inlineStr">
        <is>
          <t xml:space="preserve">  粗利率</t>
        </is>
      </c>
      <c r="B16" s="11">
        <f>前提条件!B27</f>
        <v/>
      </c>
      <c r="C16" s="11">
        <f>前提条件!C27</f>
        <v/>
      </c>
      <c r="D16" s="11">
        <f>前提条件!D27</f>
        <v/>
      </c>
      <c r="E16" s="22" t="n"/>
    </row>
    <row r="17">
      <c r="A17" s="21" t="inlineStr">
        <is>
          <t>▌SG&amp;A（販売費及び一般管理費）</t>
        </is>
      </c>
      <c r="B17" s="43" t="n"/>
      <c r="C17" s="43" t="n"/>
      <c r="D17" s="43" t="n"/>
      <c r="E17" s="44" t="n"/>
    </row>
    <row r="18">
      <c r="A18" s="5" t="inlineStr">
        <is>
          <t xml:space="preserve">  人件費合計</t>
        </is>
      </c>
      <c r="B18" s="6">
        <f>人員計画!D32</f>
        <v/>
      </c>
      <c r="C18" s="6">
        <f>人員計画!E32</f>
        <v/>
      </c>
      <c r="D18" s="6">
        <f>人員計画!F32</f>
        <v/>
      </c>
      <c r="E18" s="6">
        <f>B18+C18+D18</f>
        <v/>
      </c>
    </row>
    <row r="19">
      <c r="A19" s="5" t="inlineStr">
        <is>
          <t xml:space="preserve">  採用費合計</t>
        </is>
      </c>
      <c r="B19" s="6">
        <f>人員計画!D42</f>
        <v/>
      </c>
      <c r="C19" s="6">
        <f>人員計画!E42</f>
        <v/>
      </c>
      <c r="D19" s="6">
        <f>人員計画!F42</f>
        <v/>
      </c>
      <c r="E19" s="6">
        <f>B19+C19+D19</f>
        <v/>
      </c>
    </row>
    <row r="20">
      <c r="A20" s="5" t="inlineStr">
        <is>
          <t xml:space="preserve">  B2Bマーケ・CAC費</t>
        </is>
      </c>
      <c r="B20" s="6">
        <f>前提条件!B33</f>
        <v/>
      </c>
      <c r="C20" s="6">
        <f>前提条件!C33</f>
        <v/>
      </c>
      <c r="D20" s="6">
        <f>前提条件!D33</f>
        <v/>
      </c>
      <c r="E20" s="6">
        <f>B20+C20+D20</f>
        <v/>
      </c>
    </row>
    <row r="21">
      <c r="A21" s="5" t="inlineStr">
        <is>
          <t xml:space="preserve">  人材紹介広告費</t>
        </is>
      </c>
      <c r="B21" s="6">
        <f>前提条件!B34</f>
        <v/>
      </c>
      <c r="C21" s="6">
        <f>前提条件!C34</f>
        <v/>
      </c>
      <c r="D21" s="6">
        <f>前提条件!D34</f>
        <v/>
      </c>
      <c r="E21" s="6">
        <f>B21+C21+D21</f>
        <v/>
      </c>
    </row>
    <row r="22">
      <c r="A22" s="5" t="inlineStr">
        <is>
          <t xml:space="preserve">  地代家賃・オフィス</t>
        </is>
      </c>
      <c r="B22" s="6">
        <f>前提条件!B35</f>
        <v/>
      </c>
      <c r="C22" s="6">
        <f>前提条件!C35</f>
        <v/>
      </c>
      <c r="D22" s="6">
        <f>前提条件!D35</f>
        <v/>
      </c>
      <c r="E22" s="6">
        <f>B22+C22+D22</f>
        <v/>
      </c>
    </row>
    <row r="23">
      <c r="A23" s="5" t="inlineStr">
        <is>
          <t xml:space="preserve">  SaaS・システム費</t>
        </is>
      </c>
      <c r="B23" s="6">
        <f>前提条件!B36</f>
        <v/>
      </c>
      <c r="C23" s="6">
        <f>前提条件!C36</f>
        <v/>
      </c>
      <c r="D23" s="6">
        <f>前提条件!D36</f>
        <v/>
      </c>
      <c r="E23" s="6">
        <f>B23+C23+D23</f>
        <v/>
      </c>
    </row>
    <row r="24">
      <c r="A24" s="5" t="inlineStr">
        <is>
          <t xml:space="preserve">  法務・許認可費</t>
        </is>
      </c>
      <c r="B24" s="6">
        <f>前提条件!B37</f>
        <v/>
      </c>
      <c r="C24" s="6">
        <f>前提条件!C37</f>
        <v/>
      </c>
      <c r="D24" s="6">
        <f>前提条件!D37</f>
        <v/>
      </c>
      <c r="E24" s="6">
        <f>B24+C24+D24</f>
        <v/>
      </c>
    </row>
    <row r="25">
      <c r="A25" s="5" t="inlineStr">
        <is>
          <t xml:space="preserve">  その他固定費</t>
        </is>
      </c>
      <c r="B25" s="6">
        <f>前提条件!B38</f>
        <v/>
      </c>
      <c r="C25" s="6">
        <f>前提条件!C38</f>
        <v/>
      </c>
      <c r="D25" s="6">
        <f>前提条件!D38</f>
        <v/>
      </c>
      <c r="E25" s="6">
        <f>B25+C25+D25</f>
        <v/>
      </c>
    </row>
    <row r="26">
      <c r="A26" s="12" t="inlineStr">
        <is>
          <t>SG&amp;A合計</t>
        </is>
      </c>
      <c r="B26" s="13">
        <f>前提条件!B39</f>
        <v/>
      </c>
      <c r="C26" s="13">
        <f>前提条件!C39</f>
        <v/>
      </c>
      <c r="D26" s="13">
        <f>前提条件!D39</f>
        <v/>
      </c>
      <c r="E26" s="13">
        <f>B26+C26+D26</f>
        <v/>
      </c>
    </row>
    <row r="27">
      <c r="A27" s="9" t="inlineStr">
        <is>
          <t>営業利益</t>
        </is>
      </c>
      <c r="B27" s="10">
        <f>前提条件!B40</f>
        <v/>
      </c>
      <c r="C27" s="10">
        <f>前提条件!C40</f>
        <v/>
      </c>
      <c r="D27" s="10">
        <f>前提条件!D40</f>
        <v/>
      </c>
      <c r="E27" s="10">
        <f>B27+C27+D27</f>
        <v/>
      </c>
    </row>
    <row r="28">
      <c r="A28" s="5" t="inlineStr">
        <is>
          <t xml:space="preserve">  営業利益率</t>
        </is>
      </c>
      <c r="B28" s="11">
        <f>前提条件!B41</f>
        <v/>
      </c>
      <c r="C28" s="11">
        <f>前提条件!C41</f>
        <v/>
      </c>
      <c r="D28" s="11">
        <f>前提条件!D41</f>
        <v/>
      </c>
      <c r="E28" s="22" t="n"/>
    </row>
    <row r="29">
      <c r="A29" s="24" t="inlineStr">
        <is>
          <t xml:space="preserve">  支払利息</t>
        </is>
      </c>
      <c r="B29" s="25">
        <f>前提条件!B64</f>
        <v/>
      </c>
      <c r="C29" s="25">
        <f>前提条件!C64</f>
        <v/>
      </c>
      <c r="D29" s="25">
        <f>前提条件!D64</f>
        <v/>
      </c>
      <c r="E29" s="25">
        <f>B29+C29+D29</f>
        <v/>
      </c>
    </row>
    <row r="30">
      <c r="A30" s="9" t="inlineStr">
        <is>
          <t>税引前利益</t>
        </is>
      </c>
      <c r="B30" s="10">
        <f>前提条件!B65</f>
        <v/>
      </c>
      <c r="C30" s="10">
        <f>前提条件!C65</f>
        <v/>
      </c>
      <c r="D30" s="10">
        <f>前提条件!D65</f>
        <v/>
      </c>
      <c r="E30" s="10">
        <f>B30+C30+D30</f>
        <v/>
      </c>
    </row>
    <row r="31">
      <c r="A31" s="5" t="inlineStr">
        <is>
          <t xml:space="preserve">  法人税等（30%）</t>
        </is>
      </c>
      <c r="B31" s="6">
        <f>前提条件!B66</f>
        <v/>
      </c>
      <c r="C31" s="6">
        <f>前提条件!C66</f>
        <v/>
      </c>
      <c r="D31" s="6">
        <f>前提条件!D66</f>
        <v/>
      </c>
      <c r="E31" s="6">
        <f>B31+C31+D31</f>
        <v/>
      </c>
    </row>
    <row r="32">
      <c r="A32" s="7" t="inlineStr">
        <is>
          <t>当期純利益</t>
        </is>
      </c>
      <c r="B32" s="8">
        <f>前提条件!B67</f>
        <v/>
      </c>
      <c r="C32" s="8">
        <f>前提条件!C67</f>
        <v/>
      </c>
      <c r="D32" s="8">
        <f>前提条件!D67</f>
        <v/>
      </c>
      <c r="E32" s="8">
        <f>B32+C32+D32</f>
        <v/>
      </c>
    </row>
    <row r="33">
      <c r="A33" s="21" t="inlineStr">
        <is>
          <t>▌参考指標</t>
        </is>
      </c>
      <c r="B33" s="43" t="n"/>
      <c r="C33" s="43" t="n"/>
      <c r="D33" s="43" t="n"/>
      <c r="E33" s="44" t="n"/>
    </row>
    <row r="34">
      <c r="A34" s="26" t="inlineStr">
        <is>
          <t xml:space="preserve">  減価償却費（参考）</t>
        </is>
      </c>
      <c r="B34" s="27">
        <f>前提条件!B54</f>
        <v/>
      </c>
      <c r="C34" s="27">
        <f>前提条件!C54</f>
        <v/>
      </c>
      <c r="D34" s="27">
        <f>前提条件!D54</f>
        <v/>
      </c>
      <c r="E34" s="27">
        <f>B34+C34+D34</f>
        <v/>
      </c>
    </row>
    <row r="35">
      <c r="A35" s="7" t="inlineStr">
        <is>
          <t xml:space="preserve">  EBITDA（参考）</t>
        </is>
      </c>
      <c r="B35" s="8">
        <f>前提条件!B40+前提条件!B54</f>
        <v/>
      </c>
      <c r="C35" s="8">
        <f>前提条件!C40+前提条件!C54</f>
        <v/>
      </c>
      <c r="D35" s="8">
        <f>前提条件!D40+前提条件!D54</f>
        <v/>
      </c>
      <c r="E35" s="8">
        <f>B35+C35+D35</f>
        <v/>
      </c>
    </row>
  </sheetData>
  <mergeCells count="6">
    <mergeCell ref="A2:E2"/>
    <mergeCell ref="A10:E10"/>
    <mergeCell ref="A33:E33"/>
    <mergeCell ref="A1:E1"/>
    <mergeCell ref="A5:E5"/>
    <mergeCell ref="A17:E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6" customHeight="1">
      <c r="A1" s="1" t="inlineStr">
        <is>
          <t>UNLID 貸借対照表（B/S）v4.8  ─  単位：万円</t>
        </is>
      </c>
    </row>
    <row r="2">
      <c r="A2" s="2" t="inlineStr">
        <is>
          <t>注：現金残高は「営業CF + 投資CF + 財務CF」の累積。貸借差額セル（Row28）で一致確認。</t>
        </is>
      </c>
    </row>
    <row r="4">
      <c r="A4" s="4" t="inlineStr">
        <is>
          <t>項目</t>
        </is>
      </c>
      <c r="B4" s="4" t="inlineStr">
        <is>
          <t>Y0（期首）</t>
        </is>
      </c>
      <c r="C4" s="4" t="inlineStr">
        <is>
          <t>Y1末</t>
        </is>
      </c>
      <c r="D4" s="4" t="inlineStr">
        <is>
          <t>Y2末</t>
        </is>
      </c>
      <c r="E4" s="4" t="inlineStr">
        <is>
          <t>Y3末</t>
        </is>
      </c>
    </row>
    <row r="5">
      <c r="A5" s="21" t="inlineStr">
        <is>
          <t>▌流動資産</t>
        </is>
      </c>
      <c r="B5" s="43" t="n"/>
      <c r="C5" s="43" t="n"/>
      <c r="D5" s="43" t="n"/>
      <c r="E5" s="44" t="n"/>
    </row>
    <row r="6">
      <c r="A6" s="16" t="inlineStr">
        <is>
          <t>現金・預金</t>
        </is>
      </c>
      <c r="B6" s="18">
        <f>前提条件!B59+前提条件!B62</f>
        <v/>
      </c>
      <c r="C6" s="18">
        <f>B6+前提条件!B67+前提条件!B54-前提条件!B52-前提条件!B47+前提条件!B48</f>
        <v/>
      </c>
      <c r="D6" s="18">
        <f>C6+前提条件!C67+前提条件!C54-前提条件!C52-(前提条件!C47-前提条件!B47)+(前提条件!C48-前提条件!B48)+前提条件!C60</f>
        <v/>
      </c>
      <c r="E6" s="18">
        <f>D6+前提条件!D67+前提条件!D54-前提条件!D52-(前提条件!D47-前提条件!C47)+(前提条件!D48-前提条件!C48)+前提条件!D61</f>
        <v/>
      </c>
    </row>
    <row r="7">
      <c r="A7" s="5" t="inlineStr">
        <is>
          <t>売掛金</t>
        </is>
      </c>
      <c r="B7" s="6" t="n">
        <v>0</v>
      </c>
      <c r="C7" s="6">
        <f>前提条件!B47</f>
        <v/>
      </c>
      <c r="D7" s="6">
        <f>前提条件!C47</f>
        <v/>
      </c>
      <c r="E7" s="6">
        <f>前提条件!D47</f>
        <v/>
      </c>
    </row>
    <row r="8">
      <c r="A8" s="12" t="inlineStr">
        <is>
          <t>流動資産合計</t>
        </is>
      </c>
      <c r="B8" s="13">
        <f>B6+B7</f>
        <v/>
      </c>
      <c r="C8" s="13">
        <f>C6+C7</f>
        <v/>
      </c>
      <c r="D8" s="13">
        <f>D6+D7</f>
        <v/>
      </c>
      <c r="E8" s="13">
        <f>E6+E7</f>
        <v/>
      </c>
    </row>
    <row r="9">
      <c r="A9" s="21" t="inlineStr">
        <is>
          <t>▌固定資産</t>
        </is>
      </c>
      <c r="B9" s="43" t="n"/>
      <c r="C9" s="43" t="n"/>
      <c r="D9" s="43" t="n"/>
      <c r="E9" s="44" t="n"/>
    </row>
    <row r="10">
      <c r="A10" s="5" t="inlineStr">
        <is>
          <t>ソフトウェア（純額）</t>
        </is>
      </c>
      <c r="B10" s="6" t="n">
        <v>0</v>
      </c>
      <c r="C10" s="6">
        <f>前提条件!B55</f>
        <v/>
      </c>
      <c r="D10" s="6">
        <f>前提条件!C55</f>
        <v/>
      </c>
      <c r="E10" s="6">
        <f>前提条件!D55</f>
        <v/>
      </c>
    </row>
    <row r="11">
      <c r="A11" s="12" t="inlineStr">
        <is>
          <t>固定資産合計</t>
        </is>
      </c>
      <c r="B11" s="13">
        <f>B10</f>
        <v/>
      </c>
      <c r="C11" s="13">
        <f>C10</f>
        <v/>
      </c>
      <c r="D11" s="13">
        <f>D10</f>
        <v/>
      </c>
      <c r="E11" s="13">
        <f>E10</f>
        <v/>
      </c>
    </row>
    <row r="12">
      <c r="A12" s="9" t="inlineStr">
        <is>
          <t>資産合計</t>
        </is>
      </c>
      <c r="B12" s="10">
        <f>B8+B11</f>
        <v/>
      </c>
      <c r="C12" s="10">
        <f>C8+C11</f>
        <v/>
      </c>
      <c r="D12" s="10">
        <f>D8+D11</f>
        <v/>
      </c>
      <c r="E12" s="10">
        <f>E8+E11</f>
        <v/>
      </c>
    </row>
    <row r="14">
      <c r="A14" s="21" t="inlineStr">
        <is>
          <t>▌流動負債</t>
        </is>
      </c>
      <c r="B14" s="43" t="n"/>
      <c r="C14" s="43" t="n"/>
      <c r="D14" s="43" t="n"/>
      <c r="E14" s="44" t="n"/>
    </row>
    <row r="15">
      <c r="A15" s="5" t="inlineStr">
        <is>
          <t>買掛金</t>
        </is>
      </c>
      <c r="B15" s="6" t="n">
        <v>0</v>
      </c>
      <c r="C15" s="6">
        <f>前提条件!B48</f>
        <v/>
      </c>
      <c r="D15" s="6">
        <f>前提条件!C48</f>
        <v/>
      </c>
      <c r="E15" s="6">
        <f>前提条件!D48</f>
        <v/>
      </c>
    </row>
    <row r="16">
      <c r="A16" s="5" t="inlineStr">
        <is>
          <t>未払費用（人件費1ヶ月相当）</t>
        </is>
      </c>
      <c r="B16" s="6" t="n">
        <v>0</v>
      </c>
      <c r="C16" s="6">
        <f>ROUND(人員計画!D32/12,0)</f>
        <v/>
      </c>
      <c r="D16" s="6">
        <f>ROUND(人員計画!E32/12,0)</f>
        <v/>
      </c>
      <c r="E16" s="6">
        <f>ROUND(人員計画!F32/12,0)</f>
        <v/>
      </c>
    </row>
    <row r="17">
      <c r="A17" s="12" t="inlineStr">
        <is>
          <t>流動負債合計</t>
        </is>
      </c>
      <c r="B17" s="13">
        <f>B15+B16</f>
        <v/>
      </c>
      <c r="C17" s="13">
        <f>C15+C16</f>
        <v/>
      </c>
      <c r="D17" s="13">
        <f>D15+D16</f>
        <v/>
      </c>
      <c r="E17" s="13">
        <f>E15+E16</f>
        <v/>
      </c>
    </row>
    <row r="18">
      <c r="A18" s="21" t="inlineStr">
        <is>
          <t>▌固定負債</t>
        </is>
      </c>
      <c r="B18" s="43" t="n"/>
      <c r="C18" s="43" t="n"/>
      <c r="D18" s="43" t="n"/>
      <c r="E18" s="44" t="n"/>
    </row>
    <row r="19">
      <c r="A19" s="5" t="inlineStr">
        <is>
          <t>借入金（期中返済なし想定）</t>
        </is>
      </c>
      <c r="B19" s="6">
        <f>前提条件!B62</f>
        <v/>
      </c>
      <c r="C19" s="6">
        <f>前提条件!B62</f>
        <v/>
      </c>
      <c r="D19" s="6">
        <f>前提条件!B62</f>
        <v/>
      </c>
      <c r="E19" s="6">
        <f>前提条件!B62</f>
        <v/>
      </c>
    </row>
    <row r="20">
      <c r="A20" s="12" t="inlineStr">
        <is>
          <t>固定負債合計</t>
        </is>
      </c>
      <c r="B20" s="13">
        <f>B19</f>
        <v/>
      </c>
      <c r="C20" s="13">
        <f>C19</f>
        <v/>
      </c>
      <c r="D20" s="13">
        <f>D19</f>
        <v/>
      </c>
      <c r="E20" s="13">
        <f>E19</f>
        <v/>
      </c>
    </row>
    <row r="21">
      <c r="A21" s="9" t="inlineStr">
        <is>
          <t>負債合計</t>
        </is>
      </c>
      <c r="B21" s="10">
        <f>B17+B20</f>
        <v/>
      </c>
      <c r="C21" s="10">
        <f>C17+C20</f>
        <v/>
      </c>
      <c r="D21" s="10">
        <f>D17+D20</f>
        <v/>
      </c>
      <c r="E21" s="10">
        <f>E17+E20</f>
        <v/>
      </c>
    </row>
    <row r="23">
      <c r="A23" s="21" t="inlineStr">
        <is>
          <t>▌純資産</t>
        </is>
      </c>
      <c r="B23" s="43" t="n"/>
      <c r="C23" s="43" t="n"/>
      <c r="D23" s="43" t="n"/>
      <c r="E23" s="44" t="n"/>
    </row>
    <row r="24">
      <c r="A24" s="5" t="inlineStr">
        <is>
          <t>払込資本（資本金＋調達額累計）</t>
        </is>
      </c>
      <c r="B24" s="6">
        <f>前提条件!B59</f>
        <v/>
      </c>
      <c r="C24" s="6">
        <f>前提条件!B59</f>
        <v/>
      </c>
      <c r="D24" s="6">
        <f>前提条件!B59+前提条件!C60</f>
        <v/>
      </c>
      <c r="E24" s="6">
        <f>前提条件!B59+前提条件!C60+前提条件!D61</f>
        <v/>
      </c>
    </row>
    <row r="25">
      <c r="A25" s="5" t="inlineStr">
        <is>
          <t>利益剰余金（累積純利益）</t>
        </is>
      </c>
      <c r="B25" s="6" t="n">
        <v>0</v>
      </c>
      <c r="C25" s="6">
        <f>前提条件!B67</f>
        <v/>
      </c>
      <c r="D25" s="6">
        <f>前提条件!B67+前提条件!C67</f>
        <v/>
      </c>
      <c r="E25" s="6">
        <f>前提条件!B67+前提条件!C67+前提条件!D67</f>
        <v/>
      </c>
    </row>
    <row r="26">
      <c r="A26" s="7" t="inlineStr">
        <is>
          <t>純資産合計</t>
        </is>
      </c>
      <c r="B26" s="8">
        <f>B24+B25</f>
        <v/>
      </c>
      <c r="C26" s="8">
        <f>C24+C25</f>
        <v/>
      </c>
      <c r="D26" s="8">
        <f>D24+D25</f>
        <v/>
      </c>
      <c r="E26" s="8">
        <f>E24+E25</f>
        <v/>
      </c>
    </row>
    <row r="27">
      <c r="A27" s="9" t="inlineStr">
        <is>
          <t>負債・純資産合計（検証）</t>
        </is>
      </c>
      <c r="B27" s="10">
        <f>B21+B26</f>
        <v/>
      </c>
      <c r="C27" s="10">
        <f>C21+C26</f>
        <v/>
      </c>
      <c r="D27" s="10">
        <f>D21+D26</f>
        <v/>
      </c>
      <c r="E27" s="10">
        <f>E21+E26</f>
        <v/>
      </c>
    </row>
    <row r="28">
      <c r="A28" s="16" t="inlineStr">
        <is>
          <t>貸借差額（0 = 正常・要確認）</t>
        </is>
      </c>
      <c r="B28" s="8">
        <f>B12-B27</f>
        <v/>
      </c>
      <c r="C28" s="8">
        <f>C12-C27</f>
        <v/>
      </c>
      <c r="D28" s="8">
        <f>D12-D27</f>
        <v/>
      </c>
      <c r="E28" s="8">
        <f>E12-E27</f>
        <v/>
      </c>
    </row>
  </sheetData>
  <mergeCells count="7">
    <mergeCell ref="A2:E2"/>
    <mergeCell ref="A1:E1"/>
    <mergeCell ref="A23:E23"/>
    <mergeCell ref="A5:E5"/>
    <mergeCell ref="A14:E14"/>
    <mergeCell ref="A18:E18"/>
    <mergeCell ref="A9:E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6" customHeight="1">
      <c r="A1" s="1" t="inlineStr">
        <is>
          <t>UNLID 月次キャッシュフロー v4.8  ─  36ヶ月展開  |  単位：万円</t>
        </is>
      </c>
    </row>
    <row r="2">
      <c r="A2" s="2" t="inlineStr">
        <is>
          <t>★ 月次値 = 年次値÷12（平均配分）。設備投資は各年度初月に一括計上。財務調達は固定月（M13/M25）に計上。  v4.4：銀行借入2,000万円に増額済み（前提条件B62）→ M1期首現金2,500万円</t>
        </is>
      </c>
    </row>
    <row r="3">
      <c r="A3" s="28" t="inlineStr"/>
      <c r="B3" s="29" t="inlineStr">
        <is>
          <t>Year 1  （M1〜M12）</t>
        </is>
      </c>
      <c r="N3" s="30" t="inlineStr">
        <is>
          <t>Year 2  （M13〜M24）</t>
        </is>
      </c>
      <c r="Z3" s="29" t="inlineStr">
        <is>
          <t>Year 3  （M25〜M36）</t>
        </is>
      </c>
    </row>
    <row r="4">
      <c r="A4" s="31" t="inlineStr">
        <is>
          <t>項目 / 月</t>
        </is>
      </c>
      <c r="B4" s="32" t="inlineStr">
        <is>
          <t>M1</t>
        </is>
      </c>
      <c r="C4" s="32" t="inlineStr">
        <is>
          <t>M2</t>
        </is>
      </c>
      <c r="D4" s="32" t="inlineStr">
        <is>
          <t>M3</t>
        </is>
      </c>
      <c r="E4" s="32" t="inlineStr">
        <is>
          <t>M4</t>
        </is>
      </c>
      <c r="F4" s="32" t="inlineStr">
        <is>
          <t>M5</t>
        </is>
      </c>
      <c r="G4" s="32" t="inlineStr">
        <is>
          <t>M6</t>
        </is>
      </c>
      <c r="H4" s="32" t="inlineStr">
        <is>
          <t>M7</t>
        </is>
      </c>
      <c r="I4" s="32" t="inlineStr">
        <is>
          <t>M8</t>
        </is>
      </c>
      <c r="J4" s="32" t="inlineStr">
        <is>
          <t>M9</t>
        </is>
      </c>
      <c r="K4" s="32" t="inlineStr">
        <is>
          <t>M10</t>
        </is>
      </c>
      <c r="L4" s="32" t="inlineStr">
        <is>
          <t>M11</t>
        </is>
      </c>
      <c r="M4" s="32" t="inlineStr">
        <is>
          <t>M12</t>
        </is>
      </c>
      <c r="N4" s="33" t="inlineStr">
        <is>
          <t>M13</t>
        </is>
      </c>
      <c r="O4" s="33" t="inlineStr">
        <is>
          <t>M14</t>
        </is>
      </c>
      <c r="P4" s="33" t="inlineStr">
        <is>
          <t>M15</t>
        </is>
      </c>
      <c r="Q4" s="33" t="inlineStr">
        <is>
          <t>M16</t>
        </is>
      </c>
      <c r="R4" s="33" t="inlineStr">
        <is>
          <t>M17</t>
        </is>
      </c>
      <c r="S4" s="33" t="inlineStr">
        <is>
          <t>M18</t>
        </is>
      </c>
      <c r="T4" s="33" t="inlineStr">
        <is>
          <t>M19</t>
        </is>
      </c>
      <c r="U4" s="33" t="inlineStr">
        <is>
          <t>M20</t>
        </is>
      </c>
      <c r="V4" s="33" t="inlineStr">
        <is>
          <t>M21</t>
        </is>
      </c>
      <c r="W4" s="33" t="inlineStr">
        <is>
          <t>M22</t>
        </is>
      </c>
      <c r="X4" s="33" t="inlineStr">
        <is>
          <t>M23</t>
        </is>
      </c>
      <c r="Y4" s="33" t="inlineStr">
        <is>
          <t>M24</t>
        </is>
      </c>
      <c r="Z4" s="32" t="inlineStr">
        <is>
          <t>M25</t>
        </is>
      </c>
      <c r="AA4" s="32" t="inlineStr">
        <is>
          <t>M26</t>
        </is>
      </c>
      <c r="AB4" s="32" t="inlineStr">
        <is>
          <t>M27</t>
        </is>
      </c>
      <c r="AC4" s="32" t="inlineStr">
        <is>
          <t>M28</t>
        </is>
      </c>
      <c r="AD4" s="32" t="inlineStr">
        <is>
          <t>M29</t>
        </is>
      </c>
      <c r="AE4" s="32" t="inlineStr">
        <is>
          <t>M30</t>
        </is>
      </c>
      <c r="AF4" s="32" t="inlineStr">
        <is>
          <t>M31</t>
        </is>
      </c>
      <c r="AG4" s="32" t="inlineStr">
        <is>
          <t>M32</t>
        </is>
      </c>
      <c r="AH4" s="32" t="inlineStr">
        <is>
          <t>M33</t>
        </is>
      </c>
      <c r="AI4" s="32" t="inlineStr">
        <is>
          <t>M34</t>
        </is>
      </c>
      <c r="AJ4" s="32" t="inlineStr">
        <is>
          <t>M35</t>
        </is>
      </c>
      <c r="AK4" s="32" t="inlineStr">
        <is>
          <t>M36</t>
        </is>
      </c>
    </row>
    <row r="5">
      <c r="A5" s="21" t="inlineStr">
        <is>
          <t>▌売上高</t>
        </is>
      </c>
      <c r="B5" s="43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43" t="n"/>
      <c r="Z5" s="43" t="n"/>
      <c r="AA5" s="43" t="n"/>
      <c r="AB5" s="43" t="n"/>
      <c r="AC5" s="43" t="n"/>
      <c r="AD5" s="43" t="n"/>
      <c r="AE5" s="43" t="n"/>
      <c r="AF5" s="43" t="n"/>
      <c r="AG5" s="43" t="n"/>
      <c r="AH5" s="43" t="n"/>
      <c r="AI5" s="43" t="n"/>
      <c r="AJ5" s="43" t="n"/>
      <c r="AK5" s="44" t="n"/>
    </row>
    <row r="6">
      <c r="A6" s="5" t="inlineStr">
        <is>
          <t xml:space="preserve">  B2B受託収益</t>
        </is>
      </c>
      <c r="B6" s="6">
        <f>ROUND(前提条件!B8/12,0)</f>
        <v/>
      </c>
      <c r="C6" s="6">
        <f>ROUND(前提条件!B8/12,0)</f>
        <v/>
      </c>
      <c r="D6" s="6">
        <f>ROUND(前提条件!B8/12,0)</f>
        <v/>
      </c>
      <c r="E6" s="6">
        <f>ROUND(前提条件!B8/12,0)</f>
        <v/>
      </c>
      <c r="F6" s="6">
        <f>ROUND(前提条件!B8/12,0)</f>
        <v/>
      </c>
      <c r="G6" s="6">
        <f>ROUND(前提条件!B8/12,0)</f>
        <v/>
      </c>
      <c r="H6" s="6">
        <f>ROUND(前提条件!B8/12,0)</f>
        <v/>
      </c>
      <c r="I6" s="6">
        <f>ROUND(前提条件!B8/12,0)</f>
        <v/>
      </c>
      <c r="J6" s="6">
        <f>ROUND(前提条件!B8/12,0)</f>
        <v/>
      </c>
      <c r="K6" s="6">
        <f>ROUND(前提条件!B8/12,0)</f>
        <v/>
      </c>
      <c r="L6" s="6">
        <f>ROUND(前提条件!B8/12,0)</f>
        <v/>
      </c>
      <c r="M6" s="6">
        <f>ROUND(前提条件!B8/12,0)</f>
        <v/>
      </c>
      <c r="N6" s="6">
        <f>ROUND(前提条件!C8/12,0)</f>
        <v/>
      </c>
      <c r="O6" s="6">
        <f>ROUND(前提条件!C8/12,0)</f>
        <v/>
      </c>
      <c r="P6" s="6">
        <f>ROUND(前提条件!C8/12,0)</f>
        <v/>
      </c>
      <c r="Q6" s="6">
        <f>ROUND(前提条件!C8/12,0)</f>
        <v/>
      </c>
      <c r="R6" s="6">
        <f>ROUND(前提条件!C8/12,0)</f>
        <v/>
      </c>
      <c r="S6" s="6">
        <f>ROUND(前提条件!C8/12,0)</f>
        <v/>
      </c>
      <c r="T6" s="6">
        <f>ROUND(前提条件!C8/12,0)</f>
        <v/>
      </c>
      <c r="U6" s="6">
        <f>ROUND(前提条件!C8/12,0)</f>
        <v/>
      </c>
      <c r="V6" s="6">
        <f>ROUND(前提条件!C8/12,0)</f>
        <v/>
      </c>
      <c r="W6" s="6">
        <f>ROUND(前提条件!C8/12,0)</f>
        <v/>
      </c>
      <c r="X6" s="6">
        <f>ROUND(前提条件!C8/12,0)</f>
        <v/>
      </c>
      <c r="Y6" s="6">
        <f>ROUND(前提条件!C8/12,0)</f>
        <v/>
      </c>
      <c r="Z6" s="6">
        <f>ROUND(前提条件!D8/12,0)</f>
        <v/>
      </c>
      <c r="AA6" s="6">
        <f>ROUND(前提条件!D8/12,0)</f>
        <v/>
      </c>
      <c r="AB6" s="6">
        <f>ROUND(前提条件!D8/12,0)</f>
        <v/>
      </c>
      <c r="AC6" s="6">
        <f>ROUND(前提条件!D8/12,0)</f>
        <v/>
      </c>
      <c r="AD6" s="6">
        <f>ROUND(前提条件!D8/12,0)</f>
        <v/>
      </c>
      <c r="AE6" s="6">
        <f>ROUND(前提条件!D8/12,0)</f>
        <v/>
      </c>
      <c r="AF6" s="6">
        <f>ROUND(前提条件!D8/12,0)</f>
        <v/>
      </c>
      <c r="AG6" s="6">
        <f>ROUND(前提条件!D8/12,0)</f>
        <v/>
      </c>
      <c r="AH6" s="6">
        <f>ROUND(前提条件!D8/12,0)</f>
        <v/>
      </c>
      <c r="AI6" s="6">
        <f>ROUND(前提条件!D8/12,0)</f>
        <v/>
      </c>
      <c r="AJ6" s="6">
        <f>ROUND(前提条件!D8/12,0)</f>
        <v/>
      </c>
      <c r="AK6" s="6">
        <f>ROUND(前提条件!D8/12,0)</f>
        <v/>
      </c>
    </row>
    <row r="7">
      <c r="A7" s="5" t="inlineStr">
        <is>
          <t xml:space="preserve">  人材紹介フィー</t>
        </is>
      </c>
      <c r="B7" s="6">
        <f>ROUND(前提条件!B11/12,0)</f>
        <v/>
      </c>
      <c r="C7" s="6">
        <f>ROUND(前提条件!B11/12,0)</f>
        <v/>
      </c>
      <c r="D7" s="6">
        <f>ROUND(前提条件!B11/12,0)</f>
        <v/>
      </c>
      <c r="E7" s="6">
        <f>ROUND(前提条件!B11/12,0)</f>
        <v/>
      </c>
      <c r="F7" s="6">
        <f>ROUND(前提条件!B11/12,0)</f>
        <v/>
      </c>
      <c r="G7" s="6">
        <f>ROUND(前提条件!B11/12,0)</f>
        <v/>
      </c>
      <c r="H7" s="6">
        <f>ROUND(前提条件!B11/12,0)</f>
        <v/>
      </c>
      <c r="I7" s="6">
        <f>ROUND(前提条件!B11/12,0)</f>
        <v/>
      </c>
      <c r="J7" s="6">
        <f>ROUND(前提条件!B11/12,0)</f>
        <v/>
      </c>
      <c r="K7" s="6">
        <f>ROUND(前提条件!B11/12,0)</f>
        <v/>
      </c>
      <c r="L7" s="6">
        <f>ROUND(前提条件!B11/12,0)</f>
        <v/>
      </c>
      <c r="M7" s="6">
        <f>ROUND(前提条件!B11/12,0)</f>
        <v/>
      </c>
      <c r="N7" s="6">
        <f>ROUND(前提条件!C11/12,0)</f>
        <v/>
      </c>
      <c r="O7" s="6">
        <f>ROUND(前提条件!C11/12,0)</f>
        <v/>
      </c>
      <c r="P7" s="6">
        <f>ROUND(前提条件!C11/12,0)</f>
        <v/>
      </c>
      <c r="Q7" s="6">
        <f>ROUND(前提条件!C11/12,0)</f>
        <v/>
      </c>
      <c r="R7" s="6">
        <f>ROUND(前提条件!C11/12,0)</f>
        <v/>
      </c>
      <c r="S7" s="6">
        <f>ROUND(前提条件!C11/12,0)</f>
        <v/>
      </c>
      <c r="T7" s="6">
        <f>ROUND(前提条件!C11/12,0)</f>
        <v/>
      </c>
      <c r="U7" s="6">
        <f>ROUND(前提条件!C11/12,0)</f>
        <v/>
      </c>
      <c r="V7" s="6">
        <f>ROUND(前提条件!C11/12,0)</f>
        <v/>
      </c>
      <c r="W7" s="6">
        <f>ROUND(前提条件!C11/12,0)</f>
        <v/>
      </c>
      <c r="X7" s="6">
        <f>ROUND(前提条件!C11/12,0)</f>
        <v/>
      </c>
      <c r="Y7" s="6">
        <f>ROUND(前提条件!C11/12,0)</f>
        <v/>
      </c>
      <c r="Z7" s="6">
        <f>ROUND(前提条件!D11/12,0)</f>
        <v/>
      </c>
      <c r="AA7" s="6">
        <f>ROUND(前提条件!D11/12,0)</f>
        <v/>
      </c>
      <c r="AB7" s="6">
        <f>ROUND(前提条件!D11/12,0)</f>
        <v/>
      </c>
      <c r="AC7" s="6">
        <f>ROUND(前提条件!D11/12,0)</f>
        <v/>
      </c>
      <c r="AD7" s="6">
        <f>ROUND(前提条件!D11/12,0)</f>
        <v/>
      </c>
      <c r="AE7" s="6">
        <f>ROUND(前提条件!D11/12,0)</f>
        <v/>
      </c>
      <c r="AF7" s="6">
        <f>ROUND(前提条件!D11/12,0)</f>
        <v/>
      </c>
      <c r="AG7" s="6">
        <f>ROUND(前提条件!D11/12,0)</f>
        <v/>
      </c>
      <c r="AH7" s="6">
        <f>ROUND(前提条件!D11/12,0)</f>
        <v/>
      </c>
      <c r="AI7" s="6">
        <f>ROUND(前提条件!D11/12,0)</f>
        <v/>
      </c>
      <c r="AJ7" s="6">
        <f>ROUND(前提条件!D11/12,0)</f>
        <v/>
      </c>
      <c r="AK7" s="6">
        <f>ROUND(前提条件!D11/12,0)</f>
        <v/>
      </c>
    </row>
    <row r="8">
      <c r="A8" s="5" t="inlineStr">
        <is>
          <t xml:space="preserve">  プロジェクト収益</t>
        </is>
      </c>
      <c r="B8" s="6">
        <f>ROUND(前提条件!B14/12,0)</f>
        <v/>
      </c>
      <c r="C8" s="6">
        <f>ROUND(前提条件!B14/12,0)</f>
        <v/>
      </c>
      <c r="D8" s="6">
        <f>ROUND(前提条件!B14/12,0)</f>
        <v/>
      </c>
      <c r="E8" s="6">
        <f>ROUND(前提条件!B14/12,0)</f>
        <v/>
      </c>
      <c r="F8" s="6">
        <f>ROUND(前提条件!B14/12,0)</f>
        <v/>
      </c>
      <c r="G8" s="6">
        <f>ROUND(前提条件!B14/12,0)</f>
        <v/>
      </c>
      <c r="H8" s="6">
        <f>ROUND(前提条件!B14/12,0)</f>
        <v/>
      </c>
      <c r="I8" s="6">
        <f>ROUND(前提条件!B14/12,0)</f>
        <v/>
      </c>
      <c r="J8" s="6">
        <f>ROUND(前提条件!B14/12,0)</f>
        <v/>
      </c>
      <c r="K8" s="6">
        <f>ROUND(前提条件!B14/12,0)</f>
        <v/>
      </c>
      <c r="L8" s="6">
        <f>ROUND(前提条件!B14/12,0)</f>
        <v/>
      </c>
      <c r="M8" s="6">
        <f>ROUND(前提条件!B14/12,0)</f>
        <v/>
      </c>
      <c r="N8" s="6">
        <f>ROUND(前提条件!C14/12,0)</f>
        <v/>
      </c>
      <c r="O8" s="6">
        <f>ROUND(前提条件!C14/12,0)</f>
        <v/>
      </c>
      <c r="P8" s="6">
        <f>ROUND(前提条件!C14/12,0)</f>
        <v/>
      </c>
      <c r="Q8" s="6">
        <f>ROUND(前提条件!C14/12,0)</f>
        <v/>
      </c>
      <c r="R8" s="6">
        <f>ROUND(前提条件!C14/12,0)</f>
        <v/>
      </c>
      <c r="S8" s="6">
        <f>ROUND(前提条件!C14/12,0)</f>
        <v/>
      </c>
      <c r="T8" s="6">
        <f>ROUND(前提条件!C14/12,0)</f>
        <v/>
      </c>
      <c r="U8" s="6">
        <f>ROUND(前提条件!C14/12,0)</f>
        <v/>
      </c>
      <c r="V8" s="6">
        <f>ROUND(前提条件!C14/12,0)</f>
        <v/>
      </c>
      <c r="W8" s="6">
        <f>ROUND(前提条件!C14/12,0)</f>
        <v/>
      </c>
      <c r="X8" s="6">
        <f>ROUND(前提条件!C14/12,0)</f>
        <v/>
      </c>
      <c r="Y8" s="6">
        <f>ROUND(前提条件!C14/12,0)</f>
        <v/>
      </c>
      <c r="Z8" s="6">
        <f>ROUND(前提条件!D14/12,0)</f>
        <v/>
      </c>
      <c r="AA8" s="6">
        <f>ROUND(前提条件!D14/12,0)</f>
        <v/>
      </c>
      <c r="AB8" s="6">
        <f>ROUND(前提条件!D14/12,0)</f>
        <v/>
      </c>
      <c r="AC8" s="6">
        <f>ROUND(前提条件!D14/12,0)</f>
        <v/>
      </c>
      <c r="AD8" s="6">
        <f>ROUND(前提条件!D14/12,0)</f>
        <v/>
      </c>
      <c r="AE8" s="6">
        <f>ROUND(前提条件!D14/12,0)</f>
        <v/>
      </c>
      <c r="AF8" s="6">
        <f>ROUND(前提条件!D14/12,0)</f>
        <v/>
      </c>
      <c r="AG8" s="6">
        <f>ROUND(前提条件!D14/12,0)</f>
        <v/>
      </c>
      <c r="AH8" s="6">
        <f>ROUND(前提条件!D14/12,0)</f>
        <v/>
      </c>
      <c r="AI8" s="6">
        <f>ROUND(前提条件!D14/12,0)</f>
        <v/>
      </c>
      <c r="AJ8" s="6">
        <f>ROUND(前提条件!D14/12,0)</f>
        <v/>
      </c>
      <c r="AK8" s="6">
        <f>ROUND(前提条件!D14/12,0)</f>
        <v/>
      </c>
    </row>
    <row r="9">
      <c r="A9" s="9" t="inlineStr">
        <is>
          <t>売上合計</t>
        </is>
      </c>
      <c r="B9" s="10">
        <f>ROUND(前提条件!B15/12,0)</f>
        <v/>
      </c>
      <c r="C9" s="10">
        <f>ROUND(前提条件!B15/12,0)</f>
        <v/>
      </c>
      <c r="D9" s="10">
        <f>ROUND(前提条件!B15/12,0)</f>
        <v/>
      </c>
      <c r="E9" s="10">
        <f>ROUND(前提条件!B15/12,0)</f>
        <v/>
      </c>
      <c r="F9" s="10">
        <f>ROUND(前提条件!B15/12,0)</f>
        <v/>
      </c>
      <c r="G9" s="10">
        <f>ROUND(前提条件!B15/12,0)</f>
        <v/>
      </c>
      <c r="H9" s="10">
        <f>ROUND(前提条件!B15/12,0)</f>
        <v/>
      </c>
      <c r="I9" s="10">
        <f>ROUND(前提条件!B15/12,0)</f>
        <v/>
      </c>
      <c r="J9" s="10">
        <f>ROUND(前提条件!B15/12,0)</f>
        <v/>
      </c>
      <c r="K9" s="10">
        <f>ROUND(前提条件!B15/12,0)</f>
        <v/>
      </c>
      <c r="L9" s="10">
        <f>ROUND(前提条件!B15/12,0)</f>
        <v/>
      </c>
      <c r="M9" s="10">
        <f>ROUND(前提条件!B15/12,0)</f>
        <v/>
      </c>
      <c r="N9" s="10">
        <f>ROUND(前提条件!C15/12,0)</f>
        <v/>
      </c>
      <c r="O9" s="10">
        <f>ROUND(前提条件!C15/12,0)</f>
        <v/>
      </c>
      <c r="P9" s="10">
        <f>ROUND(前提条件!C15/12,0)</f>
        <v/>
      </c>
      <c r="Q9" s="10">
        <f>ROUND(前提条件!C15/12,0)</f>
        <v/>
      </c>
      <c r="R9" s="10">
        <f>ROUND(前提条件!C15/12,0)</f>
        <v/>
      </c>
      <c r="S9" s="10">
        <f>ROUND(前提条件!C15/12,0)</f>
        <v/>
      </c>
      <c r="T9" s="10">
        <f>ROUND(前提条件!C15/12,0)</f>
        <v/>
      </c>
      <c r="U9" s="10">
        <f>ROUND(前提条件!C15/12,0)</f>
        <v/>
      </c>
      <c r="V9" s="10">
        <f>ROUND(前提条件!C15/12,0)</f>
        <v/>
      </c>
      <c r="W9" s="10">
        <f>ROUND(前提条件!C15/12,0)</f>
        <v/>
      </c>
      <c r="X9" s="10">
        <f>ROUND(前提条件!C15/12,0)</f>
        <v/>
      </c>
      <c r="Y9" s="10">
        <f>ROUND(前提条件!C15/12,0)</f>
        <v/>
      </c>
      <c r="Z9" s="10">
        <f>ROUND(前提条件!D15/12,0)</f>
        <v/>
      </c>
      <c r="AA9" s="10">
        <f>ROUND(前提条件!D15/12,0)</f>
        <v/>
      </c>
      <c r="AB9" s="10">
        <f>ROUND(前提条件!D15/12,0)</f>
        <v/>
      </c>
      <c r="AC9" s="10">
        <f>ROUND(前提条件!D15/12,0)</f>
        <v/>
      </c>
      <c r="AD9" s="10">
        <f>ROUND(前提条件!D15/12,0)</f>
        <v/>
      </c>
      <c r="AE9" s="10">
        <f>ROUND(前提条件!D15/12,0)</f>
        <v/>
      </c>
      <c r="AF9" s="10">
        <f>ROUND(前提条件!D15/12,0)</f>
        <v/>
      </c>
      <c r="AG9" s="10">
        <f>ROUND(前提条件!D15/12,0)</f>
        <v/>
      </c>
      <c r="AH9" s="10">
        <f>ROUND(前提条件!D15/12,0)</f>
        <v/>
      </c>
      <c r="AI9" s="10">
        <f>ROUND(前提条件!D15/12,0)</f>
        <v/>
      </c>
      <c r="AJ9" s="10">
        <f>ROUND(前提条件!D15/12,0)</f>
        <v/>
      </c>
      <c r="AK9" s="10">
        <f>ROUND(前提条件!D15/12,0)</f>
        <v/>
      </c>
    </row>
    <row r="10">
      <c r="A10" s="21" t="inlineStr">
        <is>
          <t>▌売上原価・粗利</t>
        </is>
      </c>
      <c r="B10" s="43" t="n"/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3" t="n"/>
      <c r="M10" s="43" t="n"/>
      <c r="N10" s="43" t="n"/>
      <c r="O10" s="43" t="n"/>
      <c r="P10" s="43" t="n"/>
      <c r="Q10" s="43" t="n"/>
      <c r="R10" s="43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43" t="n"/>
      <c r="AB10" s="43" t="n"/>
      <c r="AC10" s="43" t="n"/>
      <c r="AD10" s="43" t="n"/>
      <c r="AE10" s="43" t="n"/>
      <c r="AF10" s="43" t="n"/>
      <c r="AG10" s="43" t="n"/>
      <c r="AH10" s="43" t="n"/>
      <c r="AI10" s="43" t="n"/>
      <c r="AJ10" s="43" t="n"/>
      <c r="AK10" s="44" t="n"/>
    </row>
    <row r="11">
      <c r="A11" s="34" t="inlineStr">
        <is>
          <t xml:space="preserve">  売上原価合計</t>
        </is>
      </c>
      <c r="B11" s="35">
        <f>ROUND(前提条件!B25/12,0)</f>
        <v/>
      </c>
      <c r="C11" s="35">
        <f>ROUND(前提条件!B25/12,0)</f>
        <v/>
      </c>
      <c r="D11" s="35">
        <f>ROUND(前提条件!B25/12,0)</f>
        <v/>
      </c>
      <c r="E11" s="35">
        <f>ROUND(前提条件!B25/12,0)</f>
        <v/>
      </c>
      <c r="F11" s="35">
        <f>ROUND(前提条件!B25/12,0)</f>
        <v/>
      </c>
      <c r="G11" s="35">
        <f>ROUND(前提条件!B25/12,0)</f>
        <v/>
      </c>
      <c r="H11" s="35">
        <f>ROUND(前提条件!B25/12,0)</f>
        <v/>
      </c>
      <c r="I11" s="35">
        <f>ROUND(前提条件!B25/12,0)</f>
        <v/>
      </c>
      <c r="J11" s="35">
        <f>ROUND(前提条件!B25/12,0)</f>
        <v/>
      </c>
      <c r="K11" s="35">
        <f>ROUND(前提条件!B25/12,0)</f>
        <v/>
      </c>
      <c r="L11" s="35">
        <f>ROUND(前提条件!B25/12,0)</f>
        <v/>
      </c>
      <c r="M11" s="35">
        <f>ROUND(前提条件!B25/12,0)</f>
        <v/>
      </c>
      <c r="N11" s="35">
        <f>ROUND(前提条件!C25/12,0)</f>
        <v/>
      </c>
      <c r="O11" s="35">
        <f>ROUND(前提条件!C25/12,0)</f>
        <v/>
      </c>
      <c r="P11" s="35">
        <f>ROUND(前提条件!C25/12,0)</f>
        <v/>
      </c>
      <c r="Q11" s="35">
        <f>ROUND(前提条件!C25/12,0)</f>
        <v/>
      </c>
      <c r="R11" s="35">
        <f>ROUND(前提条件!C25/12,0)</f>
        <v/>
      </c>
      <c r="S11" s="35">
        <f>ROUND(前提条件!C25/12,0)</f>
        <v/>
      </c>
      <c r="T11" s="35">
        <f>ROUND(前提条件!C25/12,0)</f>
        <v/>
      </c>
      <c r="U11" s="35">
        <f>ROUND(前提条件!C25/12,0)</f>
        <v/>
      </c>
      <c r="V11" s="35">
        <f>ROUND(前提条件!C25/12,0)</f>
        <v/>
      </c>
      <c r="W11" s="35">
        <f>ROUND(前提条件!C25/12,0)</f>
        <v/>
      </c>
      <c r="X11" s="35">
        <f>ROUND(前提条件!C25/12,0)</f>
        <v/>
      </c>
      <c r="Y11" s="35">
        <f>ROUND(前提条件!C25/12,0)</f>
        <v/>
      </c>
      <c r="Z11" s="35">
        <f>ROUND(前提条件!D25/12,0)</f>
        <v/>
      </c>
      <c r="AA11" s="35">
        <f>ROUND(前提条件!D25/12,0)</f>
        <v/>
      </c>
      <c r="AB11" s="35">
        <f>ROUND(前提条件!D25/12,0)</f>
        <v/>
      </c>
      <c r="AC11" s="35">
        <f>ROUND(前提条件!D25/12,0)</f>
        <v/>
      </c>
      <c r="AD11" s="35">
        <f>ROUND(前提条件!D25/12,0)</f>
        <v/>
      </c>
      <c r="AE11" s="35">
        <f>ROUND(前提条件!D25/12,0)</f>
        <v/>
      </c>
      <c r="AF11" s="35">
        <f>ROUND(前提条件!D25/12,0)</f>
        <v/>
      </c>
      <c r="AG11" s="35">
        <f>ROUND(前提条件!D25/12,0)</f>
        <v/>
      </c>
      <c r="AH11" s="35">
        <f>ROUND(前提条件!D25/12,0)</f>
        <v/>
      </c>
      <c r="AI11" s="35">
        <f>ROUND(前提条件!D25/12,0)</f>
        <v/>
      </c>
      <c r="AJ11" s="35">
        <f>ROUND(前提条件!D25/12,0)</f>
        <v/>
      </c>
      <c r="AK11" s="35">
        <f>ROUND(前提条件!D25/12,0)</f>
        <v/>
      </c>
    </row>
    <row r="12">
      <c r="A12" s="7" t="inlineStr">
        <is>
          <t>売上総利益</t>
        </is>
      </c>
      <c r="B12" s="8">
        <f>ROUND(前提条件!B26/12,0)</f>
        <v/>
      </c>
      <c r="C12" s="8">
        <f>ROUND(前提条件!B26/12,0)</f>
        <v/>
      </c>
      <c r="D12" s="8">
        <f>ROUND(前提条件!B26/12,0)</f>
        <v/>
      </c>
      <c r="E12" s="8">
        <f>ROUND(前提条件!B26/12,0)</f>
        <v/>
      </c>
      <c r="F12" s="8">
        <f>ROUND(前提条件!B26/12,0)</f>
        <v/>
      </c>
      <c r="G12" s="8">
        <f>ROUND(前提条件!B26/12,0)</f>
        <v/>
      </c>
      <c r="H12" s="8">
        <f>ROUND(前提条件!B26/12,0)</f>
        <v/>
      </c>
      <c r="I12" s="8">
        <f>ROUND(前提条件!B26/12,0)</f>
        <v/>
      </c>
      <c r="J12" s="8">
        <f>ROUND(前提条件!B26/12,0)</f>
        <v/>
      </c>
      <c r="K12" s="8">
        <f>ROUND(前提条件!B26/12,0)</f>
        <v/>
      </c>
      <c r="L12" s="8">
        <f>ROUND(前提条件!B26/12,0)</f>
        <v/>
      </c>
      <c r="M12" s="8">
        <f>ROUND(前提条件!B26/12,0)</f>
        <v/>
      </c>
      <c r="N12" s="8">
        <f>ROUND(前提条件!C26/12,0)</f>
        <v/>
      </c>
      <c r="O12" s="8">
        <f>ROUND(前提条件!C26/12,0)</f>
        <v/>
      </c>
      <c r="P12" s="8">
        <f>ROUND(前提条件!C26/12,0)</f>
        <v/>
      </c>
      <c r="Q12" s="8">
        <f>ROUND(前提条件!C26/12,0)</f>
        <v/>
      </c>
      <c r="R12" s="8">
        <f>ROUND(前提条件!C26/12,0)</f>
        <v/>
      </c>
      <c r="S12" s="8">
        <f>ROUND(前提条件!C26/12,0)</f>
        <v/>
      </c>
      <c r="T12" s="8">
        <f>ROUND(前提条件!C26/12,0)</f>
        <v/>
      </c>
      <c r="U12" s="8">
        <f>ROUND(前提条件!C26/12,0)</f>
        <v/>
      </c>
      <c r="V12" s="8">
        <f>ROUND(前提条件!C26/12,0)</f>
        <v/>
      </c>
      <c r="W12" s="8">
        <f>ROUND(前提条件!C26/12,0)</f>
        <v/>
      </c>
      <c r="X12" s="8">
        <f>ROUND(前提条件!C26/12,0)</f>
        <v/>
      </c>
      <c r="Y12" s="8">
        <f>ROUND(前提条件!C26/12,0)</f>
        <v/>
      </c>
      <c r="Z12" s="8">
        <f>ROUND(前提条件!D26/12,0)</f>
        <v/>
      </c>
      <c r="AA12" s="8">
        <f>ROUND(前提条件!D26/12,0)</f>
        <v/>
      </c>
      <c r="AB12" s="8">
        <f>ROUND(前提条件!D26/12,0)</f>
        <v/>
      </c>
      <c r="AC12" s="8">
        <f>ROUND(前提条件!D26/12,0)</f>
        <v/>
      </c>
      <c r="AD12" s="8">
        <f>ROUND(前提条件!D26/12,0)</f>
        <v/>
      </c>
      <c r="AE12" s="8">
        <f>ROUND(前提条件!D26/12,0)</f>
        <v/>
      </c>
      <c r="AF12" s="8">
        <f>ROUND(前提条件!D26/12,0)</f>
        <v/>
      </c>
      <c r="AG12" s="8">
        <f>ROUND(前提条件!D26/12,0)</f>
        <v/>
      </c>
      <c r="AH12" s="8">
        <f>ROUND(前提条件!D26/12,0)</f>
        <v/>
      </c>
      <c r="AI12" s="8">
        <f>ROUND(前提条件!D26/12,0)</f>
        <v/>
      </c>
      <c r="AJ12" s="8">
        <f>ROUND(前提条件!D26/12,0)</f>
        <v/>
      </c>
      <c r="AK12" s="8">
        <f>ROUND(前提条件!D26/12,0)</f>
        <v/>
      </c>
    </row>
    <row r="13">
      <c r="A13" s="21" t="inlineStr">
        <is>
          <t>▌SG&amp;A・営業利益</t>
        </is>
      </c>
      <c r="B13" s="43" t="n"/>
      <c r="C13" s="43" t="n"/>
      <c r="D13" s="43" t="n"/>
      <c r="E13" s="43" t="n"/>
      <c r="F13" s="43" t="n"/>
      <c r="G13" s="43" t="n"/>
      <c r="H13" s="43" t="n"/>
      <c r="I13" s="43" t="n"/>
      <c r="J13" s="43" t="n"/>
      <c r="K13" s="43" t="n"/>
      <c r="L13" s="43" t="n"/>
      <c r="M13" s="43" t="n"/>
      <c r="N13" s="43" t="n"/>
      <c r="O13" s="4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3" t="n"/>
      <c r="AB13" s="43" t="n"/>
      <c r="AC13" s="43" t="n"/>
      <c r="AD13" s="43" t="n"/>
      <c r="AE13" s="43" t="n"/>
      <c r="AF13" s="43" t="n"/>
      <c r="AG13" s="43" t="n"/>
      <c r="AH13" s="43" t="n"/>
      <c r="AI13" s="43" t="n"/>
      <c r="AJ13" s="43" t="n"/>
      <c r="AK13" s="44" t="n"/>
    </row>
    <row r="14">
      <c r="A14" s="34" t="inlineStr">
        <is>
          <t xml:space="preserve">  SG&amp;A合計</t>
        </is>
      </c>
      <c r="B14" s="35">
        <f>ROUND(前提条件!B39/12,0)</f>
        <v/>
      </c>
      <c r="C14" s="35">
        <f>ROUND(前提条件!B39/12,0)</f>
        <v/>
      </c>
      <c r="D14" s="35">
        <f>ROUND(前提条件!B39/12,0)</f>
        <v/>
      </c>
      <c r="E14" s="35">
        <f>ROUND(前提条件!B39/12,0)</f>
        <v/>
      </c>
      <c r="F14" s="35">
        <f>ROUND(前提条件!B39/12,0)</f>
        <v/>
      </c>
      <c r="G14" s="35">
        <f>ROUND(前提条件!B39/12,0)</f>
        <v/>
      </c>
      <c r="H14" s="35">
        <f>ROUND(前提条件!B39/12,0)</f>
        <v/>
      </c>
      <c r="I14" s="35">
        <f>ROUND(前提条件!B39/12,0)</f>
        <v/>
      </c>
      <c r="J14" s="35">
        <f>ROUND(前提条件!B39/12,0)</f>
        <v/>
      </c>
      <c r="K14" s="35">
        <f>ROUND(前提条件!B39/12,0)</f>
        <v/>
      </c>
      <c r="L14" s="35">
        <f>ROUND(前提条件!B39/12,0)</f>
        <v/>
      </c>
      <c r="M14" s="35">
        <f>ROUND(前提条件!B39/12,0)</f>
        <v/>
      </c>
      <c r="N14" s="35">
        <f>ROUND(前提条件!C39/12,0)</f>
        <v/>
      </c>
      <c r="O14" s="35">
        <f>ROUND(前提条件!C39/12,0)</f>
        <v/>
      </c>
      <c r="P14" s="35">
        <f>ROUND(前提条件!C39/12,0)</f>
        <v/>
      </c>
      <c r="Q14" s="35">
        <f>ROUND(前提条件!C39/12,0)</f>
        <v/>
      </c>
      <c r="R14" s="35">
        <f>ROUND(前提条件!C39/12,0)</f>
        <v/>
      </c>
      <c r="S14" s="35">
        <f>ROUND(前提条件!C39/12,0)</f>
        <v/>
      </c>
      <c r="T14" s="35">
        <f>ROUND(前提条件!C39/12,0)</f>
        <v/>
      </c>
      <c r="U14" s="35">
        <f>ROUND(前提条件!C39/12,0)</f>
        <v/>
      </c>
      <c r="V14" s="35">
        <f>ROUND(前提条件!C39/12,0)</f>
        <v/>
      </c>
      <c r="W14" s="35">
        <f>ROUND(前提条件!C39/12,0)</f>
        <v/>
      </c>
      <c r="X14" s="35">
        <f>ROUND(前提条件!C39/12,0)</f>
        <v/>
      </c>
      <c r="Y14" s="35">
        <f>ROUND(前提条件!C39/12,0)</f>
        <v/>
      </c>
      <c r="Z14" s="35">
        <f>ROUND(前提条件!D39/12,0)</f>
        <v/>
      </c>
      <c r="AA14" s="35">
        <f>ROUND(前提条件!D39/12,0)</f>
        <v/>
      </c>
      <c r="AB14" s="35">
        <f>ROUND(前提条件!D39/12,0)</f>
        <v/>
      </c>
      <c r="AC14" s="35">
        <f>ROUND(前提条件!D39/12,0)</f>
        <v/>
      </c>
      <c r="AD14" s="35">
        <f>ROUND(前提条件!D39/12,0)</f>
        <v/>
      </c>
      <c r="AE14" s="35">
        <f>ROUND(前提条件!D39/12,0)</f>
        <v/>
      </c>
      <c r="AF14" s="35">
        <f>ROUND(前提条件!D39/12,0)</f>
        <v/>
      </c>
      <c r="AG14" s="35">
        <f>ROUND(前提条件!D39/12,0)</f>
        <v/>
      </c>
      <c r="AH14" s="35">
        <f>ROUND(前提条件!D39/12,0)</f>
        <v/>
      </c>
      <c r="AI14" s="35">
        <f>ROUND(前提条件!D39/12,0)</f>
        <v/>
      </c>
      <c r="AJ14" s="35">
        <f>ROUND(前提条件!D39/12,0)</f>
        <v/>
      </c>
      <c r="AK14" s="35">
        <f>ROUND(前提条件!D39/12,0)</f>
        <v/>
      </c>
    </row>
    <row r="15">
      <c r="A15" s="9" t="inlineStr">
        <is>
          <t>営業利益</t>
        </is>
      </c>
      <c r="B15" s="10">
        <f>ROUND(前提条件!B40/12,0)</f>
        <v/>
      </c>
      <c r="C15" s="10">
        <f>ROUND(前提条件!B40/12,0)</f>
        <v/>
      </c>
      <c r="D15" s="10">
        <f>ROUND(前提条件!B40/12,0)</f>
        <v/>
      </c>
      <c r="E15" s="10">
        <f>ROUND(前提条件!B40/12,0)</f>
        <v/>
      </c>
      <c r="F15" s="10">
        <f>ROUND(前提条件!B40/12,0)</f>
        <v/>
      </c>
      <c r="G15" s="10">
        <f>ROUND(前提条件!B40/12,0)</f>
        <v/>
      </c>
      <c r="H15" s="10">
        <f>ROUND(前提条件!B40/12,0)</f>
        <v/>
      </c>
      <c r="I15" s="10">
        <f>ROUND(前提条件!B40/12,0)</f>
        <v/>
      </c>
      <c r="J15" s="10">
        <f>ROUND(前提条件!B40/12,0)</f>
        <v/>
      </c>
      <c r="K15" s="10">
        <f>ROUND(前提条件!B40/12,0)</f>
        <v/>
      </c>
      <c r="L15" s="10">
        <f>ROUND(前提条件!B40/12,0)</f>
        <v/>
      </c>
      <c r="M15" s="10">
        <f>ROUND(前提条件!B40/12,0)</f>
        <v/>
      </c>
      <c r="N15" s="10">
        <f>ROUND(前提条件!C40/12,0)</f>
        <v/>
      </c>
      <c r="O15" s="10">
        <f>ROUND(前提条件!C40/12,0)</f>
        <v/>
      </c>
      <c r="P15" s="10">
        <f>ROUND(前提条件!C40/12,0)</f>
        <v/>
      </c>
      <c r="Q15" s="10">
        <f>ROUND(前提条件!C40/12,0)</f>
        <v/>
      </c>
      <c r="R15" s="10">
        <f>ROUND(前提条件!C40/12,0)</f>
        <v/>
      </c>
      <c r="S15" s="10">
        <f>ROUND(前提条件!C40/12,0)</f>
        <v/>
      </c>
      <c r="T15" s="10">
        <f>ROUND(前提条件!C40/12,0)</f>
        <v/>
      </c>
      <c r="U15" s="10">
        <f>ROUND(前提条件!C40/12,0)</f>
        <v/>
      </c>
      <c r="V15" s="10">
        <f>ROUND(前提条件!C40/12,0)</f>
        <v/>
      </c>
      <c r="W15" s="10">
        <f>ROUND(前提条件!C40/12,0)</f>
        <v/>
      </c>
      <c r="X15" s="10">
        <f>ROUND(前提条件!C40/12,0)</f>
        <v/>
      </c>
      <c r="Y15" s="10">
        <f>ROUND(前提条件!C40/12,0)</f>
        <v/>
      </c>
      <c r="Z15" s="10">
        <f>ROUND(前提条件!D40/12,0)</f>
        <v/>
      </c>
      <c r="AA15" s="10">
        <f>ROUND(前提条件!D40/12,0)</f>
        <v/>
      </c>
      <c r="AB15" s="10">
        <f>ROUND(前提条件!D40/12,0)</f>
        <v/>
      </c>
      <c r="AC15" s="10">
        <f>ROUND(前提条件!D40/12,0)</f>
        <v/>
      </c>
      <c r="AD15" s="10">
        <f>ROUND(前提条件!D40/12,0)</f>
        <v/>
      </c>
      <c r="AE15" s="10">
        <f>ROUND(前提条件!D40/12,0)</f>
        <v/>
      </c>
      <c r="AF15" s="10">
        <f>ROUND(前提条件!D40/12,0)</f>
        <v/>
      </c>
      <c r="AG15" s="10">
        <f>ROUND(前提条件!D40/12,0)</f>
        <v/>
      </c>
      <c r="AH15" s="10">
        <f>ROUND(前提条件!D40/12,0)</f>
        <v/>
      </c>
      <c r="AI15" s="10">
        <f>ROUND(前提条件!D40/12,0)</f>
        <v/>
      </c>
      <c r="AJ15" s="10">
        <f>ROUND(前提条件!D40/12,0)</f>
        <v/>
      </c>
      <c r="AK15" s="10">
        <f>ROUND(前提条件!D40/12,0)</f>
        <v/>
      </c>
    </row>
    <row r="16">
      <c r="A16" s="7" t="inlineStr">
        <is>
          <t>当月純利益（税引後）</t>
        </is>
      </c>
      <c r="B16" s="8">
        <f>ROUND(前提条件!B67/12,0)</f>
        <v/>
      </c>
      <c r="C16" s="8">
        <f>ROUND(前提条件!B67/12,0)</f>
        <v/>
      </c>
      <c r="D16" s="8">
        <f>ROUND(前提条件!B67/12,0)</f>
        <v/>
      </c>
      <c r="E16" s="8">
        <f>ROUND(前提条件!B67/12,0)</f>
        <v/>
      </c>
      <c r="F16" s="8">
        <f>ROUND(前提条件!B67/12,0)</f>
        <v/>
      </c>
      <c r="G16" s="8">
        <f>ROUND(前提条件!B67/12,0)</f>
        <v/>
      </c>
      <c r="H16" s="8">
        <f>ROUND(前提条件!B67/12,0)</f>
        <v/>
      </c>
      <c r="I16" s="8">
        <f>ROUND(前提条件!B67/12,0)</f>
        <v/>
      </c>
      <c r="J16" s="8">
        <f>ROUND(前提条件!B67/12,0)</f>
        <v/>
      </c>
      <c r="K16" s="8">
        <f>ROUND(前提条件!B67/12,0)</f>
        <v/>
      </c>
      <c r="L16" s="8">
        <f>ROUND(前提条件!B67/12,0)</f>
        <v/>
      </c>
      <c r="M16" s="8">
        <f>ROUND(前提条件!B67/12,0)</f>
        <v/>
      </c>
      <c r="N16" s="8">
        <f>ROUND(前提条件!C67/12,0)</f>
        <v/>
      </c>
      <c r="O16" s="8">
        <f>ROUND(前提条件!C67/12,0)</f>
        <v/>
      </c>
      <c r="P16" s="8">
        <f>ROUND(前提条件!C67/12,0)</f>
        <v/>
      </c>
      <c r="Q16" s="8">
        <f>ROUND(前提条件!C67/12,0)</f>
        <v/>
      </c>
      <c r="R16" s="8">
        <f>ROUND(前提条件!C67/12,0)</f>
        <v/>
      </c>
      <c r="S16" s="8">
        <f>ROUND(前提条件!C67/12,0)</f>
        <v/>
      </c>
      <c r="T16" s="8">
        <f>ROUND(前提条件!C67/12,0)</f>
        <v/>
      </c>
      <c r="U16" s="8">
        <f>ROUND(前提条件!C67/12,0)</f>
        <v/>
      </c>
      <c r="V16" s="8">
        <f>ROUND(前提条件!C67/12,0)</f>
        <v/>
      </c>
      <c r="W16" s="8">
        <f>ROUND(前提条件!C67/12,0)</f>
        <v/>
      </c>
      <c r="X16" s="8">
        <f>ROUND(前提条件!C67/12,0)</f>
        <v/>
      </c>
      <c r="Y16" s="8">
        <f>ROUND(前提条件!C67/12,0)</f>
        <v/>
      </c>
      <c r="Z16" s="8">
        <f>ROUND(前提条件!D67/12,0)</f>
        <v/>
      </c>
      <c r="AA16" s="8">
        <f>ROUND(前提条件!D67/12,0)</f>
        <v/>
      </c>
      <c r="AB16" s="8">
        <f>ROUND(前提条件!D67/12,0)</f>
        <v/>
      </c>
      <c r="AC16" s="8">
        <f>ROUND(前提条件!D67/12,0)</f>
        <v/>
      </c>
      <c r="AD16" s="8">
        <f>ROUND(前提条件!D67/12,0)</f>
        <v/>
      </c>
      <c r="AE16" s="8">
        <f>ROUND(前提条件!D67/12,0)</f>
        <v/>
      </c>
      <c r="AF16" s="8">
        <f>ROUND(前提条件!D67/12,0)</f>
        <v/>
      </c>
      <c r="AG16" s="8">
        <f>ROUND(前提条件!D67/12,0)</f>
        <v/>
      </c>
      <c r="AH16" s="8">
        <f>ROUND(前提条件!D67/12,0)</f>
        <v/>
      </c>
      <c r="AI16" s="8">
        <f>ROUND(前提条件!D67/12,0)</f>
        <v/>
      </c>
      <c r="AJ16" s="8">
        <f>ROUND(前提条件!D67/12,0)</f>
        <v/>
      </c>
      <c r="AK16" s="8">
        <f>ROUND(前提条件!D67/12,0)</f>
        <v/>
      </c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</row>
    <row r="18">
      <c r="A18" s="26" t="inlineStr">
        <is>
          <t>当月償却費（参考・非現金）</t>
        </is>
      </c>
      <c r="B18" s="27">
        <f>ROUND(前提条件!B54/12,0)</f>
        <v/>
      </c>
      <c r="C18" s="27">
        <f>ROUND(前提条件!B54/12,0)</f>
        <v/>
      </c>
      <c r="D18" s="27">
        <f>ROUND(前提条件!B54/12,0)</f>
        <v/>
      </c>
      <c r="E18" s="27">
        <f>ROUND(前提条件!B54/12,0)</f>
        <v/>
      </c>
      <c r="F18" s="27">
        <f>ROUND(前提条件!B54/12,0)</f>
        <v/>
      </c>
      <c r="G18" s="27">
        <f>ROUND(前提条件!B54/12,0)</f>
        <v/>
      </c>
      <c r="H18" s="27">
        <f>ROUND(前提条件!B54/12,0)</f>
        <v/>
      </c>
      <c r="I18" s="27">
        <f>ROUND(前提条件!B54/12,0)</f>
        <v/>
      </c>
      <c r="J18" s="27">
        <f>ROUND(前提条件!B54/12,0)</f>
        <v/>
      </c>
      <c r="K18" s="27">
        <f>ROUND(前提条件!B54/12,0)</f>
        <v/>
      </c>
      <c r="L18" s="27">
        <f>ROUND(前提条件!B54/12,0)</f>
        <v/>
      </c>
      <c r="M18" s="27">
        <f>ROUND(前提条件!B54/12,0)</f>
        <v/>
      </c>
      <c r="N18" s="27">
        <f>ROUND(前提条件!C54/12,0)</f>
        <v/>
      </c>
      <c r="O18" s="27">
        <f>ROUND(前提条件!C54/12,0)</f>
        <v/>
      </c>
      <c r="P18" s="27">
        <f>ROUND(前提条件!C54/12,0)</f>
        <v/>
      </c>
      <c r="Q18" s="27">
        <f>ROUND(前提条件!C54/12,0)</f>
        <v/>
      </c>
      <c r="R18" s="27">
        <f>ROUND(前提条件!C54/12,0)</f>
        <v/>
      </c>
      <c r="S18" s="27">
        <f>ROUND(前提条件!C54/12,0)</f>
        <v/>
      </c>
      <c r="T18" s="27">
        <f>ROUND(前提条件!C54/12,0)</f>
        <v/>
      </c>
      <c r="U18" s="27">
        <f>ROUND(前提条件!C54/12,0)</f>
        <v/>
      </c>
      <c r="V18" s="27">
        <f>ROUND(前提条件!C54/12,0)</f>
        <v/>
      </c>
      <c r="W18" s="27">
        <f>ROUND(前提条件!C54/12,0)</f>
        <v/>
      </c>
      <c r="X18" s="27">
        <f>ROUND(前提条件!C54/12,0)</f>
        <v/>
      </c>
      <c r="Y18" s="27">
        <f>ROUND(前提条件!C54/12,0)</f>
        <v/>
      </c>
      <c r="Z18" s="27">
        <f>ROUND(前提条件!D54/12,0)</f>
        <v/>
      </c>
      <c r="AA18" s="27">
        <f>ROUND(前提条件!D54/12,0)</f>
        <v/>
      </c>
      <c r="AB18" s="27">
        <f>ROUND(前提条件!D54/12,0)</f>
        <v/>
      </c>
      <c r="AC18" s="27">
        <f>ROUND(前提条件!D54/12,0)</f>
        <v/>
      </c>
      <c r="AD18" s="27">
        <f>ROUND(前提条件!D54/12,0)</f>
        <v/>
      </c>
      <c r="AE18" s="27">
        <f>ROUND(前提条件!D54/12,0)</f>
        <v/>
      </c>
      <c r="AF18" s="27">
        <f>ROUND(前提条件!D54/12,0)</f>
        <v/>
      </c>
      <c r="AG18" s="27">
        <f>ROUND(前提条件!D54/12,0)</f>
        <v/>
      </c>
      <c r="AH18" s="27">
        <f>ROUND(前提条件!D54/12,0)</f>
        <v/>
      </c>
      <c r="AI18" s="27">
        <f>ROUND(前提条件!D54/12,0)</f>
        <v/>
      </c>
      <c r="AJ18" s="27">
        <f>ROUND(前提条件!D54/12,0)</f>
        <v/>
      </c>
      <c r="AK18" s="27">
        <f>ROUND(前提条件!D54/12,0)</f>
        <v/>
      </c>
    </row>
    <row r="19">
      <c r="A19" s="21" t="inlineStr">
        <is>
          <t>▌月次キャッシュフロー</t>
        </is>
      </c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43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  <c r="AH19" s="43" t="n"/>
      <c r="AI19" s="43" t="n"/>
      <c r="AJ19" s="43" t="n"/>
      <c r="AK19" s="44" t="n"/>
    </row>
    <row r="20">
      <c r="A20" s="5" t="inlineStr">
        <is>
          <t>期首現金残高</t>
        </is>
      </c>
      <c r="B20" s="6">
        <f>BS（貸借対照表）!B6</f>
        <v/>
      </c>
      <c r="C20" s="6">
        <f>B26</f>
        <v/>
      </c>
      <c r="D20" s="6">
        <f>C26</f>
        <v/>
      </c>
      <c r="E20" s="6">
        <f>D26</f>
        <v/>
      </c>
      <c r="F20" s="6">
        <f>E26</f>
        <v/>
      </c>
      <c r="G20" s="6">
        <f>F26</f>
        <v/>
      </c>
      <c r="H20" s="6">
        <f>G26</f>
        <v/>
      </c>
      <c r="I20" s="6">
        <f>H26</f>
        <v/>
      </c>
      <c r="J20" s="6">
        <f>I26</f>
        <v/>
      </c>
      <c r="K20" s="6">
        <f>J26</f>
        <v/>
      </c>
      <c r="L20" s="6">
        <f>K26</f>
        <v/>
      </c>
      <c r="M20" s="6">
        <f>L26</f>
        <v/>
      </c>
      <c r="N20" s="6">
        <f>M26</f>
        <v/>
      </c>
      <c r="O20" s="6">
        <f>N26</f>
        <v/>
      </c>
      <c r="P20" s="6">
        <f>O26</f>
        <v/>
      </c>
      <c r="Q20" s="6">
        <f>P26</f>
        <v/>
      </c>
      <c r="R20" s="6">
        <f>Q26</f>
        <v/>
      </c>
      <c r="S20" s="6">
        <f>R26</f>
        <v/>
      </c>
      <c r="T20" s="6">
        <f>S26</f>
        <v/>
      </c>
      <c r="U20" s="6">
        <f>T26</f>
        <v/>
      </c>
      <c r="V20" s="6">
        <f>U26</f>
        <v/>
      </c>
      <c r="W20" s="6">
        <f>V26</f>
        <v/>
      </c>
      <c r="X20" s="6">
        <f>W26</f>
        <v/>
      </c>
      <c r="Y20" s="6">
        <f>X26</f>
        <v/>
      </c>
      <c r="Z20" s="6">
        <f>Y26</f>
        <v/>
      </c>
      <c r="AA20" s="6">
        <f>Z26</f>
        <v/>
      </c>
      <c r="AB20" s="6">
        <f>AA26</f>
        <v/>
      </c>
      <c r="AC20" s="6">
        <f>AB26</f>
        <v/>
      </c>
      <c r="AD20" s="6">
        <f>AC26</f>
        <v/>
      </c>
      <c r="AE20" s="6">
        <f>AD26</f>
        <v/>
      </c>
      <c r="AF20" s="6">
        <f>AE26</f>
        <v/>
      </c>
      <c r="AG20" s="6">
        <f>AF26</f>
        <v/>
      </c>
      <c r="AH20" s="6">
        <f>AG26</f>
        <v/>
      </c>
      <c r="AI20" s="6">
        <f>AH26</f>
        <v/>
      </c>
      <c r="AJ20" s="6">
        <f>AI26</f>
        <v/>
      </c>
      <c r="AK20" s="6">
        <f>AJ26</f>
        <v/>
      </c>
    </row>
    <row r="21">
      <c r="A21" s="5" t="inlineStr">
        <is>
          <t>当月純利益</t>
        </is>
      </c>
      <c r="B21" s="6">
        <f>ROUND(前提条件!B67/12,0)</f>
        <v/>
      </c>
      <c r="C21" s="6">
        <f>ROUND(前提条件!B67/12,0)</f>
        <v/>
      </c>
      <c r="D21" s="6">
        <f>ROUND(前提条件!B67/12,0)</f>
        <v/>
      </c>
      <c r="E21" s="6">
        <f>ROUND(前提条件!B67/12,0)</f>
        <v/>
      </c>
      <c r="F21" s="6">
        <f>ROUND(前提条件!B67/12,0)</f>
        <v/>
      </c>
      <c r="G21" s="6">
        <f>ROUND(前提条件!B67/12,0)</f>
        <v/>
      </c>
      <c r="H21" s="6">
        <f>ROUND(前提条件!B67/12,0)</f>
        <v/>
      </c>
      <c r="I21" s="6">
        <f>ROUND(前提条件!B67/12,0)</f>
        <v/>
      </c>
      <c r="J21" s="6">
        <f>ROUND(前提条件!B67/12,0)</f>
        <v/>
      </c>
      <c r="K21" s="6">
        <f>ROUND(前提条件!B67/12,0)</f>
        <v/>
      </c>
      <c r="L21" s="6">
        <f>ROUND(前提条件!B67/12,0)</f>
        <v/>
      </c>
      <c r="M21" s="6">
        <f>ROUND(前提条件!B67/12,0)</f>
        <v/>
      </c>
      <c r="N21" s="6">
        <f>ROUND(前提条件!C67/12,0)</f>
        <v/>
      </c>
      <c r="O21" s="6">
        <f>ROUND(前提条件!C67/12,0)</f>
        <v/>
      </c>
      <c r="P21" s="6">
        <f>ROUND(前提条件!C67/12,0)</f>
        <v/>
      </c>
      <c r="Q21" s="6">
        <f>ROUND(前提条件!C67/12,0)</f>
        <v/>
      </c>
      <c r="R21" s="6">
        <f>ROUND(前提条件!C67/12,0)</f>
        <v/>
      </c>
      <c r="S21" s="6">
        <f>ROUND(前提条件!C67/12,0)</f>
        <v/>
      </c>
      <c r="T21" s="6">
        <f>ROUND(前提条件!C67/12,0)</f>
        <v/>
      </c>
      <c r="U21" s="6">
        <f>ROUND(前提条件!C67/12,0)</f>
        <v/>
      </c>
      <c r="V21" s="6">
        <f>ROUND(前提条件!C67/12,0)</f>
        <v/>
      </c>
      <c r="W21" s="6">
        <f>ROUND(前提条件!C67/12,0)</f>
        <v/>
      </c>
      <c r="X21" s="6">
        <f>ROUND(前提条件!C67/12,0)</f>
        <v/>
      </c>
      <c r="Y21" s="6">
        <f>ROUND(前提条件!C67/12,0)</f>
        <v/>
      </c>
      <c r="Z21" s="6">
        <f>ROUND(前提条件!D67/12,0)</f>
        <v/>
      </c>
      <c r="AA21" s="6">
        <f>ROUND(前提条件!D67/12,0)</f>
        <v/>
      </c>
      <c r="AB21" s="6">
        <f>ROUND(前提条件!D67/12,0)</f>
        <v/>
      </c>
      <c r="AC21" s="6">
        <f>ROUND(前提条件!D67/12,0)</f>
        <v/>
      </c>
      <c r="AD21" s="6">
        <f>ROUND(前提条件!D67/12,0)</f>
        <v/>
      </c>
      <c r="AE21" s="6">
        <f>ROUND(前提条件!D67/12,0)</f>
        <v/>
      </c>
      <c r="AF21" s="6">
        <f>ROUND(前提条件!D67/12,0)</f>
        <v/>
      </c>
      <c r="AG21" s="6">
        <f>ROUND(前提条件!D67/12,0)</f>
        <v/>
      </c>
      <c r="AH21" s="6">
        <f>ROUND(前提条件!D67/12,0)</f>
        <v/>
      </c>
      <c r="AI21" s="6">
        <f>ROUND(前提条件!D67/12,0)</f>
        <v/>
      </c>
      <c r="AJ21" s="6">
        <f>ROUND(前提条件!D67/12,0)</f>
        <v/>
      </c>
      <c r="AK21" s="6">
        <f>ROUND(前提条件!D67/12,0)</f>
        <v/>
      </c>
    </row>
    <row r="22">
      <c r="A22" s="5" t="inlineStr">
        <is>
          <t>当月償却費（非現金加算）</t>
        </is>
      </c>
      <c r="B22" s="6">
        <f>ROUND(前提条件!B54/12,0)</f>
        <v/>
      </c>
      <c r="C22" s="6">
        <f>ROUND(前提条件!B54/12,0)</f>
        <v/>
      </c>
      <c r="D22" s="6">
        <f>ROUND(前提条件!B54/12,0)</f>
        <v/>
      </c>
      <c r="E22" s="6">
        <f>ROUND(前提条件!B54/12,0)</f>
        <v/>
      </c>
      <c r="F22" s="6">
        <f>ROUND(前提条件!B54/12,0)</f>
        <v/>
      </c>
      <c r="G22" s="6">
        <f>ROUND(前提条件!B54/12,0)</f>
        <v/>
      </c>
      <c r="H22" s="6">
        <f>ROUND(前提条件!B54/12,0)</f>
        <v/>
      </c>
      <c r="I22" s="6">
        <f>ROUND(前提条件!B54/12,0)</f>
        <v/>
      </c>
      <c r="J22" s="6">
        <f>ROUND(前提条件!B54/12,0)</f>
        <v/>
      </c>
      <c r="K22" s="6">
        <f>ROUND(前提条件!B54/12,0)</f>
        <v/>
      </c>
      <c r="L22" s="6">
        <f>ROUND(前提条件!B54/12,0)</f>
        <v/>
      </c>
      <c r="M22" s="6">
        <f>ROUND(前提条件!B54/12,0)</f>
        <v/>
      </c>
      <c r="N22" s="6">
        <f>ROUND(前提条件!C54/12,0)</f>
        <v/>
      </c>
      <c r="O22" s="6">
        <f>ROUND(前提条件!C54/12,0)</f>
        <v/>
      </c>
      <c r="P22" s="6">
        <f>ROUND(前提条件!C54/12,0)</f>
        <v/>
      </c>
      <c r="Q22" s="6">
        <f>ROUND(前提条件!C54/12,0)</f>
        <v/>
      </c>
      <c r="R22" s="6">
        <f>ROUND(前提条件!C54/12,0)</f>
        <v/>
      </c>
      <c r="S22" s="6">
        <f>ROUND(前提条件!C54/12,0)</f>
        <v/>
      </c>
      <c r="T22" s="6">
        <f>ROUND(前提条件!C54/12,0)</f>
        <v/>
      </c>
      <c r="U22" s="6">
        <f>ROUND(前提条件!C54/12,0)</f>
        <v/>
      </c>
      <c r="V22" s="6">
        <f>ROUND(前提条件!C54/12,0)</f>
        <v/>
      </c>
      <c r="W22" s="6">
        <f>ROUND(前提条件!C54/12,0)</f>
        <v/>
      </c>
      <c r="X22" s="6">
        <f>ROUND(前提条件!C54/12,0)</f>
        <v/>
      </c>
      <c r="Y22" s="6">
        <f>ROUND(前提条件!C54/12,0)</f>
        <v/>
      </c>
      <c r="Z22" s="6">
        <f>ROUND(前提条件!D54/12,0)</f>
        <v/>
      </c>
      <c r="AA22" s="6">
        <f>ROUND(前提条件!D54/12,0)</f>
        <v/>
      </c>
      <c r="AB22" s="6">
        <f>ROUND(前提条件!D54/12,0)</f>
        <v/>
      </c>
      <c r="AC22" s="6">
        <f>ROUND(前提条件!D54/12,0)</f>
        <v/>
      </c>
      <c r="AD22" s="6">
        <f>ROUND(前提条件!D54/12,0)</f>
        <v/>
      </c>
      <c r="AE22" s="6">
        <f>ROUND(前提条件!D54/12,0)</f>
        <v/>
      </c>
      <c r="AF22" s="6">
        <f>ROUND(前提条件!D54/12,0)</f>
        <v/>
      </c>
      <c r="AG22" s="6">
        <f>ROUND(前提条件!D54/12,0)</f>
        <v/>
      </c>
      <c r="AH22" s="6">
        <f>ROUND(前提条件!D54/12,0)</f>
        <v/>
      </c>
      <c r="AI22" s="6">
        <f>ROUND(前提条件!D54/12,0)</f>
        <v/>
      </c>
      <c r="AJ22" s="6">
        <f>ROUND(前提条件!D54/12,0)</f>
        <v/>
      </c>
      <c r="AK22" s="6">
        <f>ROUND(前提条件!D54/12,0)</f>
        <v/>
      </c>
    </row>
    <row r="23">
      <c r="A23" s="5" t="inlineStr">
        <is>
          <t>設備投資（－）</t>
        </is>
      </c>
      <c r="B23" s="25">
        <f>前提条件!B52</f>
        <v/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0</v>
      </c>
      <c r="M23" s="6" t="n">
        <v>0</v>
      </c>
      <c r="N23" s="25">
        <f>前提条件!C52</f>
        <v/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0</v>
      </c>
      <c r="Y23" s="6" t="n">
        <v>0</v>
      </c>
      <c r="Z23" s="25">
        <f>前提条件!D52</f>
        <v/>
      </c>
      <c r="AA23" s="6" t="n">
        <v>0</v>
      </c>
      <c r="AB23" s="6" t="n">
        <v>0</v>
      </c>
      <c r="AC23" s="6" t="n">
        <v>0</v>
      </c>
      <c r="AD23" s="6" t="n">
        <v>0</v>
      </c>
      <c r="AE23" s="6" t="n">
        <v>0</v>
      </c>
      <c r="AF23" s="6" t="n">
        <v>0</v>
      </c>
      <c r="AG23" s="6" t="n">
        <v>0</v>
      </c>
      <c r="AH23" s="6" t="n">
        <v>0</v>
      </c>
      <c r="AI23" s="6" t="n">
        <v>0</v>
      </c>
      <c r="AJ23" s="6" t="n">
        <v>0</v>
      </c>
      <c r="AK23" s="6" t="n">
        <v>0</v>
      </c>
    </row>
    <row r="24">
      <c r="A24" s="5" t="inlineStr">
        <is>
          <t>運転資本変動（ΔAR−ΔAP）</t>
        </is>
      </c>
      <c r="B24" s="6">
        <f>ROUND(前提条件!B47/12,0)-ROUND(前提条件!B48/12,0)</f>
        <v/>
      </c>
      <c r="C24" s="6">
        <f>ROUND(前提条件!B47/12,0)-ROUND(前提条件!B48/12,0)</f>
        <v/>
      </c>
      <c r="D24" s="6">
        <f>ROUND(前提条件!B47/12,0)-ROUND(前提条件!B48/12,0)</f>
        <v/>
      </c>
      <c r="E24" s="6">
        <f>ROUND(前提条件!B47/12,0)-ROUND(前提条件!B48/12,0)</f>
        <v/>
      </c>
      <c r="F24" s="6">
        <f>ROUND(前提条件!B47/12,0)-ROUND(前提条件!B48/12,0)</f>
        <v/>
      </c>
      <c r="G24" s="6">
        <f>ROUND(前提条件!B47/12,0)-ROUND(前提条件!B48/12,0)</f>
        <v/>
      </c>
      <c r="H24" s="6">
        <f>ROUND(前提条件!B47/12,0)-ROUND(前提条件!B48/12,0)</f>
        <v/>
      </c>
      <c r="I24" s="6">
        <f>ROUND(前提条件!B47/12,0)-ROUND(前提条件!B48/12,0)</f>
        <v/>
      </c>
      <c r="J24" s="6">
        <f>ROUND(前提条件!B47/12,0)-ROUND(前提条件!B48/12,0)</f>
        <v/>
      </c>
      <c r="K24" s="6">
        <f>ROUND(前提条件!B47/12,0)-ROUND(前提条件!B48/12,0)</f>
        <v/>
      </c>
      <c r="L24" s="6">
        <f>ROUND(前提条件!B47/12,0)-ROUND(前提条件!B48/12,0)</f>
        <v/>
      </c>
      <c r="M24" s="6">
        <f>ROUND(前提条件!B47/12,0)-ROUND(前提条件!B48/12,0)</f>
        <v/>
      </c>
      <c r="N24" s="6">
        <f>ROUND((前提条件!C47-前提条件!B47)/12,0)-ROUND((前提条件!C48-前提条件!B48)/12,0)</f>
        <v/>
      </c>
      <c r="O24" s="6">
        <f>ROUND((前提条件!C47-前提条件!B47)/12,0)-ROUND((前提条件!C48-前提条件!B48)/12,0)</f>
        <v/>
      </c>
      <c r="P24" s="6">
        <f>ROUND((前提条件!C47-前提条件!B47)/12,0)-ROUND((前提条件!C48-前提条件!B48)/12,0)</f>
        <v/>
      </c>
      <c r="Q24" s="6">
        <f>ROUND((前提条件!C47-前提条件!B47)/12,0)-ROUND((前提条件!C48-前提条件!B48)/12,0)</f>
        <v/>
      </c>
      <c r="R24" s="6">
        <f>ROUND((前提条件!C47-前提条件!B47)/12,0)-ROUND((前提条件!C48-前提条件!B48)/12,0)</f>
        <v/>
      </c>
      <c r="S24" s="6">
        <f>ROUND((前提条件!C47-前提条件!B47)/12,0)-ROUND((前提条件!C48-前提条件!B48)/12,0)</f>
        <v/>
      </c>
      <c r="T24" s="6">
        <f>ROUND((前提条件!C47-前提条件!B47)/12,0)-ROUND((前提条件!C48-前提条件!B48)/12,0)</f>
        <v/>
      </c>
      <c r="U24" s="6">
        <f>ROUND((前提条件!C47-前提条件!B47)/12,0)-ROUND((前提条件!C48-前提条件!B48)/12,0)</f>
        <v/>
      </c>
      <c r="V24" s="6">
        <f>ROUND((前提条件!C47-前提条件!B47)/12,0)-ROUND((前提条件!C48-前提条件!B48)/12,0)</f>
        <v/>
      </c>
      <c r="W24" s="6">
        <f>ROUND((前提条件!C47-前提条件!B47)/12,0)-ROUND((前提条件!C48-前提条件!B48)/12,0)</f>
        <v/>
      </c>
      <c r="X24" s="6">
        <f>ROUND((前提条件!C47-前提条件!B47)/12,0)-ROUND((前提条件!C48-前提条件!B48)/12,0)</f>
        <v/>
      </c>
      <c r="Y24" s="6">
        <f>ROUND((前提条件!C47-前提条件!B47)/12,0)-ROUND((前提条件!C48-前提条件!B48)/12,0)</f>
        <v/>
      </c>
      <c r="Z24" s="6">
        <f>ROUND((前提条件!D47-前提条件!C47)/12,0)-ROUND((前提条件!D48-前提条件!C48)/12,0)</f>
        <v/>
      </c>
      <c r="AA24" s="6">
        <f>ROUND((前提条件!D47-前提条件!C47)/12,0)-ROUND((前提条件!D48-前提条件!C48)/12,0)</f>
        <v/>
      </c>
      <c r="AB24" s="6">
        <f>ROUND((前提条件!D47-前提条件!C47)/12,0)-ROUND((前提条件!D48-前提条件!C48)/12,0)</f>
        <v/>
      </c>
      <c r="AC24" s="6">
        <f>ROUND((前提条件!D47-前提条件!C47)/12,0)-ROUND((前提条件!D48-前提条件!C48)/12,0)</f>
        <v/>
      </c>
      <c r="AD24" s="6">
        <f>ROUND((前提条件!D47-前提条件!C47)/12,0)-ROUND((前提条件!D48-前提条件!C48)/12,0)</f>
        <v/>
      </c>
      <c r="AE24" s="6">
        <f>ROUND((前提条件!D47-前提条件!C47)/12,0)-ROUND((前提条件!D48-前提条件!C48)/12,0)</f>
        <v/>
      </c>
      <c r="AF24" s="6">
        <f>ROUND((前提条件!D47-前提条件!C47)/12,0)-ROUND((前提条件!D48-前提条件!C48)/12,0)</f>
        <v/>
      </c>
      <c r="AG24" s="6">
        <f>ROUND((前提条件!D47-前提条件!C47)/12,0)-ROUND((前提条件!D48-前提条件!C48)/12,0)</f>
        <v/>
      </c>
      <c r="AH24" s="6">
        <f>ROUND((前提条件!D47-前提条件!C47)/12,0)-ROUND((前提条件!D48-前提条件!C48)/12,0)</f>
        <v/>
      </c>
      <c r="AI24" s="6">
        <f>ROUND((前提条件!D47-前提条件!C47)/12,0)-ROUND((前提条件!D48-前提条件!C48)/12,0)</f>
        <v/>
      </c>
      <c r="AJ24" s="6">
        <f>ROUND((前提条件!D47-前提条件!C47)/12,0)-ROUND((前提条件!D48-前提条件!C48)/12,0)</f>
        <v/>
      </c>
      <c r="AK24" s="6">
        <f>ROUND((前提条件!D47-前提条件!C47)/12,0)-ROUND((前提条件!D48-前提条件!C48)/12,0)</f>
        <v/>
      </c>
    </row>
    <row r="25">
      <c r="A25" s="5" t="inlineStr">
        <is>
          <t>財務調達（調達・借入金）</t>
        </is>
      </c>
      <c r="B25" s="6" t="n">
        <v>0</v>
      </c>
      <c r="C25" s="6" t="n">
        <v>0</v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0</v>
      </c>
      <c r="M25" s="6" t="n">
        <v>0</v>
      </c>
      <c r="N25" s="15">
        <f>前提条件!C60</f>
        <v/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0</v>
      </c>
      <c r="X25" s="6" t="n">
        <v>0</v>
      </c>
      <c r="Y25" s="6" t="n">
        <v>0</v>
      </c>
      <c r="Z25" s="15">
        <f>前提条件!D61</f>
        <v/>
      </c>
      <c r="AA25" s="6" t="n">
        <v>0</v>
      </c>
      <c r="AB25" s="6" t="n">
        <v>0</v>
      </c>
      <c r="AC25" s="6" t="n">
        <v>0</v>
      </c>
      <c r="AD25" s="6" t="n">
        <v>0</v>
      </c>
      <c r="AE25" s="6" t="n">
        <v>0</v>
      </c>
      <c r="AF25" s="6" t="n">
        <v>0</v>
      </c>
      <c r="AG25" s="6" t="n">
        <v>0</v>
      </c>
      <c r="AH25" s="6" t="n">
        <v>0</v>
      </c>
      <c r="AI25" s="6" t="n">
        <v>0</v>
      </c>
      <c r="AJ25" s="6" t="n">
        <v>0</v>
      </c>
      <c r="AK25" s="6" t="n">
        <v>0</v>
      </c>
    </row>
    <row r="26">
      <c r="A26" s="9" t="inlineStr">
        <is>
          <t>期末現金残高</t>
        </is>
      </c>
      <c r="B26" s="10">
        <f>B20+B21+B22-B23-B24+B25-B30</f>
        <v/>
      </c>
      <c r="C26" s="10">
        <f>C20+C21+C22-C23-C24+C25-C30</f>
        <v/>
      </c>
      <c r="D26" s="10">
        <f>D20+D21+D22-D23-D24+D25-D30</f>
        <v/>
      </c>
      <c r="E26" s="10">
        <f>E20+E21+E22-E23-E24+E25-E30</f>
        <v/>
      </c>
      <c r="F26" s="10">
        <f>F20+F21+F22-F23-F24+F25-F30</f>
        <v/>
      </c>
      <c r="G26" s="10">
        <f>G20+G21+G22-G23-G24+G25-G30</f>
        <v/>
      </c>
      <c r="H26" s="10">
        <f>H20+H21+H22-H23-H24+H25-H30</f>
        <v/>
      </c>
      <c r="I26" s="10">
        <f>I20+I21+I22-I23-I24+I25-I30</f>
        <v/>
      </c>
      <c r="J26" s="10">
        <f>J20+J21+J22-J23-J24+J25-J30</f>
        <v/>
      </c>
      <c r="K26" s="10">
        <f>K20+K21+K22-K23-K24+K25-K30</f>
        <v/>
      </c>
      <c r="L26" s="10">
        <f>L20+L21+L22-L23-L24+L25-L30</f>
        <v/>
      </c>
      <c r="M26" s="10">
        <f>M20+M21+M22-M23-M24+M25-M30</f>
        <v/>
      </c>
      <c r="N26" s="10">
        <f>N20+N21+N22-N23-N24+N25-N30</f>
        <v/>
      </c>
      <c r="O26" s="10">
        <f>O20+O21+O22-O23-O24+O25-O30</f>
        <v/>
      </c>
      <c r="P26" s="10">
        <f>P20+P21+P22-P23-P24+P25-P30</f>
        <v/>
      </c>
      <c r="Q26" s="10">
        <f>Q20+Q21+Q22-Q23-Q24+Q25-Q30</f>
        <v/>
      </c>
      <c r="R26" s="10">
        <f>R20+R21+R22-R23-R24+R25-R30</f>
        <v/>
      </c>
      <c r="S26" s="10">
        <f>S20+S21+S22-S23-S24+S25-S30</f>
        <v/>
      </c>
      <c r="T26" s="10">
        <f>T20+T21+T22-T23-T24+T25-T30</f>
        <v/>
      </c>
      <c r="U26" s="10">
        <f>U20+U21+U22-U23-U24+U25-U30</f>
        <v/>
      </c>
      <c r="V26" s="10">
        <f>V20+V21+V22-V23-V24+V25-V30</f>
        <v/>
      </c>
      <c r="W26" s="10">
        <f>W20+W21+W22-W23-W24+W25-W30</f>
        <v/>
      </c>
      <c r="X26" s="10">
        <f>X20+X21+X22-X23-X24+X25-X30</f>
        <v/>
      </c>
      <c r="Y26" s="10">
        <f>Y20+Y21+Y22-Y23-Y24+Y25-Y30</f>
        <v/>
      </c>
      <c r="Z26" s="10">
        <f>Z20+Z21+Z22-Z23-Z24+Z25-Z30</f>
        <v/>
      </c>
      <c r="AA26" s="10">
        <f>AA20+AA21+AA22-AA23-AA24+AA25-AA30</f>
        <v/>
      </c>
      <c r="AB26" s="10">
        <f>AB20+AB21+AB22-AB23-AB24+AB25-AB30</f>
        <v/>
      </c>
      <c r="AC26" s="10">
        <f>AC20+AC21+AC22-AC23-AC24+AC25-AC30</f>
        <v/>
      </c>
      <c r="AD26" s="10">
        <f>AD20+AD21+AD22-AD23-AD24+AD25-AD30</f>
        <v/>
      </c>
      <c r="AE26" s="10">
        <f>AE20+AE21+AE22-AE23-AE24+AE25-AE30</f>
        <v/>
      </c>
      <c r="AF26" s="10">
        <f>AF20+AF21+AF22-AF23-AF24+AF25-AF30</f>
        <v/>
      </c>
      <c r="AG26" s="10">
        <f>AG20+AG21+AG22-AG23-AG24+AG25-AG30</f>
        <v/>
      </c>
      <c r="AH26" s="10">
        <f>AH20+AH21+AH22-AH23-AH24+AH25-AH30</f>
        <v/>
      </c>
      <c r="AI26" s="10">
        <f>AI20+AI21+AI22-AI23-AI24+AI25-AI30</f>
        <v/>
      </c>
      <c r="AJ26" s="10">
        <f>AJ20+AJ21+AJ22-AJ23-AJ24+AJ25-AJ30</f>
        <v/>
      </c>
      <c r="AK26" s="10">
        <f>AK20+AK21+AK22-AK23-AK24+AK25-AK30</f>
        <v/>
      </c>
    </row>
    <row r="27">
      <c r="A27" s="58" t="inlineStr">
        <is>
          <t>★ 最低現預金残高（M1〜M36 MIN・元金返済後）  ─ ショート確認</t>
        </is>
      </c>
      <c r="B27" s="58">
        <f>MIN(B26:AK26)</f>
        <v/>
      </c>
      <c r="C27" s="58" t="inlineStr">
        <is>
          <t>← Row26に元金返済を含む。Row31(税)は別途確認。</t>
        </is>
      </c>
    </row>
    <row r="28">
      <c r="A28" t="inlineStr">
        <is>
          <t>月次安全ライン（月商×2ヶ月・各年度連動・動的）</t>
        </is>
      </c>
      <c r="B28">
        <f>ROUND(前提条件!B15/6,0)</f>
        <v/>
      </c>
      <c r="C28">
        <f>ROUND(前提条件!B15/6,0)</f>
        <v/>
      </c>
      <c r="D28">
        <f>ROUND(前提条件!B15/6,0)</f>
        <v/>
      </c>
      <c r="E28">
        <f>ROUND(前提条件!B15/6,0)</f>
        <v/>
      </c>
      <c r="F28">
        <f>ROUND(前提条件!B15/6,0)</f>
        <v/>
      </c>
      <c r="G28">
        <f>ROUND(前提条件!B15/6,0)</f>
        <v/>
      </c>
      <c r="H28">
        <f>ROUND(前提条件!B15/6,0)</f>
        <v/>
      </c>
      <c r="I28">
        <f>ROUND(前提条件!B15/6,0)</f>
        <v/>
      </c>
      <c r="J28">
        <f>ROUND(前提条件!B15/6,0)</f>
        <v/>
      </c>
      <c r="K28">
        <f>ROUND(前提条件!B15/6,0)</f>
        <v/>
      </c>
      <c r="L28">
        <f>ROUND(前提条件!B15/6,0)</f>
        <v/>
      </c>
      <c r="M28">
        <f>ROUND(前提条件!B15/6,0)</f>
        <v/>
      </c>
      <c r="N28">
        <f>ROUND(前提条件!C15/6,0)</f>
        <v/>
      </c>
      <c r="O28">
        <f>ROUND(前提条件!C15/6,0)</f>
        <v/>
      </c>
      <c r="P28">
        <f>ROUND(前提条件!C15/6,0)</f>
        <v/>
      </c>
      <c r="Q28">
        <f>ROUND(前提条件!C15/6,0)</f>
        <v/>
      </c>
      <c r="R28">
        <f>ROUND(前提条件!C15/6,0)</f>
        <v/>
      </c>
      <c r="S28">
        <f>ROUND(前提条件!C15/6,0)</f>
        <v/>
      </c>
      <c r="T28">
        <f>ROUND(前提条件!C15/6,0)</f>
        <v/>
      </c>
      <c r="U28">
        <f>ROUND(前提条件!C15/6,0)</f>
        <v/>
      </c>
      <c r="V28">
        <f>ROUND(前提条件!C15/6,0)</f>
        <v/>
      </c>
      <c r="W28">
        <f>ROUND(前提条件!C15/6,0)</f>
        <v/>
      </c>
      <c r="X28">
        <f>ROUND(前提条件!C15/6,0)</f>
        <v/>
      </c>
      <c r="Y28">
        <f>ROUND(前提条件!C15/6,0)</f>
        <v/>
      </c>
      <c r="Z28">
        <f>ROUND(前提条件!D15/6,0)</f>
        <v/>
      </c>
      <c r="AA28">
        <f>ROUND(前提条件!D15/6,0)</f>
        <v/>
      </c>
      <c r="AB28">
        <f>ROUND(前提条件!D15/6,0)</f>
        <v/>
      </c>
      <c r="AC28">
        <f>ROUND(前提条件!D15/6,0)</f>
        <v/>
      </c>
      <c r="AD28">
        <f>ROUND(前提条件!D15/6,0)</f>
        <v/>
      </c>
      <c r="AE28">
        <f>ROUND(前提条件!D15/6,0)</f>
        <v/>
      </c>
      <c r="AF28">
        <f>ROUND(前提条件!D15/6,0)</f>
        <v/>
      </c>
      <c r="AG28">
        <f>ROUND(前提条件!D15/6,0)</f>
        <v/>
      </c>
      <c r="AH28">
        <f>ROUND(前提条件!D15/6,0)</f>
        <v/>
      </c>
      <c r="AI28">
        <f>ROUND(前提条件!D15/6,0)</f>
        <v/>
      </c>
      <c r="AJ28">
        <f>ROUND(前提条件!D15/6,0)</f>
        <v/>
      </c>
      <c r="AK28">
        <f>ROUND(前提条件!D15/6,0)</f>
        <v/>
      </c>
    </row>
    <row r="29">
      <c r="A29" t="inlineStr">
        <is>
          <t>月次Cash判定（✓安全 / △要確認 ─ 全月✓が融資額妥当の証明）</t>
        </is>
      </c>
      <c r="B29">
        <f>IF(B26&gt;=B28,"✓","△")</f>
        <v/>
      </c>
      <c r="C29">
        <f>IF(C26&gt;=C28,"✓","△")</f>
        <v/>
      </c>
      <c r="D29">
        <f>IF(D26&gt;=D28,"✓","△")</f>
        <v/>
      </c>
      <c r="E29">
        <f>IF(E26&gt;=E28,"✓","△")</f>
        <v/>
      </c>
      <c r="F29">
        <f>IF(F26&gt;=F28,"✓","△")</f>
        <v/>
      </c>
      <c r="G29">
        <f>IF(G26&gt;=G28,"✓","△")</f>
        <v/>
      </c>
      <c r="H29">
        <f>IF(H26&gt;=H28,"✓","△")</f>
        <v/>
      </c>
      <c r="I29">
        <f>IF(I26&gt;=I28,"✓","△")</f>
        <v/>
      </c>
      <c r="J29">
        <f>IF(J26&gt;=J28,"✓","△")</f>
        <v/>
      </c>
      <c r="K29">
        <f>IF(K26&gt;=K28,"✓","△")</f>
        <v/>
      </c>
      <c r="L29">
        <f>IF(L26&gt;=L28,"✓","△")</f>
        <v/>
      </c>
      <c r="M29">
        <f>IF(M26&gt;=M28,"✓","△")</f>
        <v/>
      </c>
      <c r="N29">
        <f>IF(N26&gt;=N28,"✓","△")</f>
        <v/>
      </c>
      <c r="O29">
        <f>IF(O26&gt;=O28,"✓","△")</f>
        <v/>
      </c>
      <c r="P29">
        <f>IF(P26&gt;=P28,"✓","△")</f>
        <v/>
      </c>
      <c r="Q29">
        <f>IF(Q26&gt;=Q28,"✓","△")</f>
        <v/>
      </c>
      <c r="R29">
        <f>IF(R26&gt;=R28,"✓","△")</f>
        <v/>
      </c>
      <c r="S29">
        <f>IF(S26&gt;=S28,"✓","△")</f>
        <v/>
      </c>
      <c r="T29">
        <f>IF(T26&gt;=T28,"✓","△")</f>
        <v/>
      </c>
      <c r="U29">
        <f>IF(U26&gt;=U28,"✓","△")</f>
        <v/>
      </c>
      <c r="V29">
        <f>IF(V26&gt;=V28,"✓","△")</f>
        <v/>
      </c>
      <c r="W29">
        <f>IF(W26&gt;=W28,"✓","△")</f>
        <v/>
      </c>
      <c r="X29">
        <f>IF(X26&gt;=X28,"✓","△")</f>
        <v/>
      </c>
      <c r="Y29">
        <f>IF(Y26&gt;=Y28,"✓","△")</f>
        <v/>
      </c>
      <c r="Z29">
        <f>IF(Z26&gt;=Z28,"✓","△")</f>
        <v/>
      </c>
      <c r="AA29">
        <f>IF(AA26&gt;=AA28,"✓","△")</f>
        <v/>
      </c>
      <c r="AB29">
        <f>IF(AB26&gt;=AB28,"✓","△")</f>
        <v/>
      </c>
      <c r="AC29">
        <f>IF(AC26&gt;=AC28,"✓","△")</f>
        <v/>
      </c>
      <c r="AD29">
        <f>IF(AD26&gt;=AD28,"✓","△")</f>
        <v/>
      </c>
      <c r="AE29">
        <f>IF(AE26&gt;=AE28,"✓","△")</f>
        <v/>
      </c>
      <c r="AF29">
        <f>IF(AF26&gt;=AF28,"✓","△")</f>
        <v/>
      </c>
      <c r="AG29">
        <f>IF(AG26&gt;=AG28,"✓","△")</f>
        <v/>
      </c>
      <c r="AH29">
        <f>IF(AH26&gt;=AH28,"✓","△")</f>
        <v/>
      </c>
      <c r="AI29">
        <f>IF(AI26&gt;=AI28,"✓","△")</f>
        <v/>
      </c>
      <c r="AJ29">
        <f>IF(AJ26&gt;=AJ28,"✓","△")</f>
        <v/>
      </c>
      <c r="AK29">
        <f>IF(AK26&gt;=AK28,"✓","△")</f>
        <v/>
      </c>
    </row>
    <row r="30">
      <c r="A30" t="inlineStr">
        <is>
          <t>元金返済（据置M1-M12・M13〜均等60回・月33万円）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>
        <f>ROUND(前提条件!B62/60,0)</f>
        <v/>
      </c>
      <c r="O30">
        <f>ROUND(前提条件!B62/60,0)</f>
        <v/>
      </c>
      <c r="P30">
        <f>ROUND(前提条件!B62/60,0)</f>
        <v/>
      </c>
      <c r="Q30">
        <f>ROUND(前提条件!B62/60,0)</f>
        <v/>
      </c>
      <c r="R30">
        <f>ROUND(前提条件!B62/60,0)</f>
        <v/>
      </c>
      <c r="S30">
        <f>ROUND(前提条件!B62/60,0)</f>
        <v/>
      </c>
      <c r="T30">
        <f>ROUND(前提条件!B62/60,0)</f>
        <v/>
      </c>
      <c r="U30">
        <f>ROUND(前提条件!B62/60,0)</f>
        <v/>
      </c>
      <c r="V30">
        <f>ROUND(前提条件!B62/60,0)</f>
        <v/>
      </c>
      <c r="W30">
        <f>ROUND(前提条件!B62/60,0)</f>
        <v/>
      </c>
      <c r="X30">
        <f>ROUND(前提条件!B62/60,0)</f>
        <v/>
      </c>
      <c r="Y30">
        <f>ROUND(前提条件!B62/60,0)</f>
        <v/>
      </c>
      <c r="Z30">
        <f>ROUND(前提条件!B62/60,0)</f>
        <v/>
      </c>
      <c r="AA30">
        <f>ROUND(前提条件!B62/60,0)</f>
        <v/>
      </c>
      <c r="AB30">
        <f>ROUND(前提条件!B62/60,0)</f>
        <v/>
      </c>
      <c r="AC30">
        <f>ROUND(前提条件!B62/60,0)</f>
        <v/>
      </c>
      <c r="AD30">
        <f>ROUND(前提条件!B62/60,0)</f>
        <v/>
      </c>
      <c r="AE30">
        <f>ROUND(前提条件!B62/60,0)</f>
        <v/>
      </c>
      <c r="AF30">
        <f>ROUND(前提条件!B62/60,0)</f>
        <v/>
      </c>
      <c r="AG30">
        <f>ROUND(前提条件!B62/60,0)</f>
        <v/>
      </c>
      <c r="AH30">
        <f>ROUND(前提条件!B62/60,0)</f>
        <v/>
      </c>
      <c r="AI30">
        <f>ROUND(前提条件!B62/60,0)</f>
        <v/>
      </c>
      <c r="AJ30">
        <f>ROUND(前提条件!B62/60,0)</f>
        <v/>
      </c>
      <c r="AK30">
        <f>ROUND(前提条件!B62/60,0)</f>
        <v/>
      </c>
    </row>
    <row r="31">
      <c r="A31" t="inlineStr">
        <is>
          <t>参考: Y2法人税 一括支払タイミング（M26 = Y2決算2ヶ月後） ─ Row26には未反映。M26のRow26残高からこの額を追加減算して確認。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>
        <f>-前提条件!C66</f>
        <v/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</row>
  </sheetData>
  <mergeCells count="9">
    <mergeCell ref="N3:Y3"/>
    <mergeCell ref="B3:M3"/>
    <mergeCell ref="A2:AK2"/>
    <mergeCell ref="A19:AK19"/>
    <mergeCell ref="A10:AK10"/>
    <mergeCell ref="A13:AK13"/>
    <mergeCell ref="A5:AK5"/>
    <mergeCell ref="A1:AK1"/>
    <mergeCell ref="Z3:AK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22" customWidth="1" min="3" max="3"/>
    <col width="18" customWidth="1" min="4" max="4"/>
    <col width="18" customWidth="1" min="5" max="5"/>
    <col width="20" customWidth="1" min="6" max="6"/>
    <col width="36" customWidth="1" min="7" max="7"/>
    <col width="15" customWidth="1" min="8" max="8"/>
    <col width="15" customWidth="1" min="9" max="9"/>
  </cols>
  <sheetData>
    <row r="1" ht="26" customHeight="1">
      <c r="A1" s="1" t="inlineStr">
        <is>
          <t>UNLID 感度分析 v4.9  ─  ユニットエコノミクス × シナリオ比較</t>
        </is>
      </c>
    </row>
    <row r="2">
      <c r="A2" s="2" t="inlineStr">
        <is>
          <t>★ マトリックスは静的計算。シナリオサマリーは前提条件シート基準値に倍率を乗算。</t>
        </is>
      </c>
    </row>
    <row r="4">
      <c r="A4" s="36" t="inlineStr">
        <is>
          <t>▌月商マトリックス（万円/月）  ─  単価：20万円/社 固定</t>
        </is>
      </c>
    </row>
    <row r="5">
      <c r="A5" s="31" t="inlineStr">
        <is>
          <t>FDE人数 ╲ 担当社数</t>
        </is>
      </c>
      <c r="B5" s="37" t="inlineStr">
        <is>
          <t>4社</t>
        </is>
      </c>
      <c r="C5" s="37" t="inlineStr">
        <is>
          <t>5社</t>
        </is>
      </c>
      <c r="D5" s="33" t="inlineStr">
        <is>
          <t>6社 ★BEP</t>
        </is>
      </c>
      <c r="E5" s="37" t="inlineStr">
        <is>
          <t>7社</t>
        </is>
      </c>
      <c r="F5" s="37" t="inlineStr">
        <is>
          <t>8社</t>
        </is>
      </c>
    </row>
    <row r="6">
      <c r="A6" s="16" t="inlineStr">
        <is>
          <t>FDE 1名</t>
        </is>
      </c>
      <c r="B6" s="6" t="n">
        <v>80</v>
      </c>
      <c r="C6" s="6" t="n">
        <v>100</v>
      </c>
      <c r="D6" s="8" t="n">
        <v>120</v>
      </c>
      <c r="E6" s="6" t="n">
        <v>140</v>
      </c>
      <c r="F6" s="6" t="n">
        <v>160</v>
      </c>
    </row>
    <row r="7">
      <c r="A7" s="16" t="inlineStr">
        <is>
          <t>FDE 2名</t>
        </is>
      </c>
      <c r="B7" s="6" t="n">
        <v>160</v>
      </c>
      <c r="C7" s="6" t="n">
        <v>200</v>
      </c>
      <c r="D7" s="38" t="n">
        <v>240</v>
      </c>
      <c r="E7" s="6" t="n">
        <v>280</v>
      </c>
      <c r="F7" s="6" t="n">
        <v>320</v>
      </c>
    </row>
    <row r="8">
      <c r="A8" s="16" t="inlineStr">
        <is>
          <t>FDE 3名</t>
        </is>
      </c>
      <c r="B8" s="6" t="n">
        <v>240</v>
      </c>
      <c r="C8" s="6" t="n">
        <v>300</v>
      </c>
      <c r="D8" s="38" t="n">
        <v>360</v>
      </c>
      <c r="E8" s="6" t="n">
        <v>420</v>
      </c>
      <c r="F8" s="6" t="n">
        <v>480</v>
      </c>
    </row>
    <row r="9">
      <c r="A9" s="16" t="inlineStr">
        <is>
          <t>FDE 4名</t>
        </is>
      </c>
      <c r="B9" s="6" t="n">
        <v>320</v>
      </c>
      <c r="C9" s="6" t="n">
        <v>400</v>
      </c>
      <c r="D9" s="38" t="n">
        <v>480</v>
      </c>
      <c r="E9" s="6" t="n">
        <v>560</v>
      </c>
      <c r="F9" s="6" t="n">
        <v>640</v>
      </c>
    </row>
    <row r="10">
      <c r="A10" s="16" t="inlineStr">
        <is>
          <t>FDE 5名</t>
        </is>
      </c>
      <c r="B10" s="6" t="n">
        <v>400</v>
      </c>
      <c r="C10" s="6" t="n">
        <v>500</v>
      </c>
      <c r="D10" s="38" t="n">
        <v>600</v>
      </c>
      <c r="E10" s="6" t="n">
        <v>700</v>
      </c>
      <c r="F10" s="6" t="n">
        <v>800</v>
      </c>
    </row>
    <row r="12">
      <c r="A12" s="36" t="inlineStr">
        <is>
          <t>▌粗利マトリックス（万円/月）  ─  ワーカー費15%控除 + FDE給与40万/名控除</t>
        </is>
      </c>
    </row>
    <row r="13">
      <c r="A13" s="31" t="inlineStr">
        <is>
          <t>FDE人数 ╲ 担当社数</t>
        </is>
      </c>
      <c r="B13" s="37" t="inlineStr">
        <is>
          <t>4社</t>
        </is>
      </c>
      <c r="C13" s="37" t="inlineStr">
        <is>
          <t>5社</t>
        </is>
      </c>
      <c r="D13" s="33" t="inlineStr">
        <is>
          <t>6社 ★BEP</t>
        </is>
      </c>
      <c r="E13" s="37" t="inlineStr">
        <is>
          <t>7社</t>
        </is>
      </c>
      <c r="F13" s="37" t="inlineStr">
        <is>
          <t>8社</t>
        </is>
      </c>
    </row>
    <row r="14">
      <c r="A14" s="16" t="inlineStr">
        <is>
          <t>FDE 1名</t>
        </is>
      </c>
      <c r="B14" s="6" t="n">
        <v>28</v>
      </c>
      <c r="C14" s="6" t="n">
        <v>45</v>
      </c>
      <c r="D14" s="8" t="n">
        <v>62</v>
      </c>
      <c r="E14" s="6" t="n">
        <v>79</v>
      </c>
      <c r="F14" s="6" t="n">
        <v>96</v>
      </c>
    </row>
    <row r="15">
      <c r="A15" s="16" t="inlineStr">
        <is>
          <t>FDE 2名</t>
        </is>
      </c>
      <c r="B15" s="6" t="n">
        <v>56</v>
      </c>
      <c r="C15" s="6" t="n">
        <v>90</v>
      </c>
      <c r="D15" s="38" t="n">
        <v>124</v>
      </c>
      <c r="E15" s="6" t="n">
        <v>158</v>
      </c>
      <c r="F15" s="6" t="n">
        <v>192</v>
      </c>
    </row>
    <row r="16">
      <c r="A16" s="16" t="inlineStr">
        <is>
          <t>FDE 3名</t>
        </is>
      </c>
      <c r="B16" s="6" t="n">
        <v>84</v>
      </c>
      <c r="C16" s="6" t="n">
        <v>135</v>
      </c>
      <c r="D16" s="38" t="n">
        <v>186</v>
      </c>
      <c r="E16" s="6" t="n">
        <v>237</v>
      </c>
      <c r="F16" s="6" t="n">
        <v>288</v>
      </c>
    </row>
    <row r="17">
      <c r="A17" s="16" t="inlineStr">
        <is>
          <t>FDE 4名</t>
        </is>
      </c>
      <c r="B17" s="6" t="n">
        <v>112</v>
      </c>
      <c r="C17" s="6" t="n">
        <v>180</v>
      </c>
      <c r="D17" s="38" t="n">
        <v>248</v>
      </c>
      <c r="E17" s="6" t="n">
        <v>316</v>
      </c>
      <c r="F17" s="6" t="n">
        <v>384</v>
      </c>
    </row>
    <row r="18">
      <c r="A18" s="16" t="inlineStr">
        <is>
          <t>FDE 5名</t>
        </is>
      </c>
      <c r="B18" s="6" t="n">
        <v>140</v>
      </c>
      <c r="C18" s="6" t="n">
        <v>225</v>
      </c>
      <c r="D18" s="38" t="n">
        <v>310</v>
      </c>
      <c r="E18" s="6" t="n">
        <v>395</v>
      </c>
      <c r="F18" s="6" t="n">
        <v>480</v>
      </c>
    </row>
    <row r="20">
      <c r="A20" s="36" t="inlineStr">
        <is>
          <t>▌B2B単価感度（Year1）  ─  FDE×社数構成不変、月額単価のみ変動</t>
        </is>
      </c>
    </row>
    <row r="21">
      <c r="A21" s="4" t="inlineStr">
        <is>
          <t>月額単価</t>
        </is>
      </c>
      <c r="B21" s="4" t="inlineStr">
        <is>
          <t>Y1 売上（万円）</t>
        </is>
      </c>
      <c r="C21" s="4" t="inlineStr">
        <is>
          <t>Y1 粗利（万円）</t>
        </is>
      </c>
      <c r="D21" s="4" t="inlineStr">
        <is>
          <t>Y1 営業利益（万円）</t>
        </is>
      </c>
      <c r="E21" s="4" t="inlineStr">
        <is>
          <t>Base比変化率</t>
        </is>
      </c>
    </row>
    <row r="22">
      <c r="A22" s="24" t="inlineStr">
        <is>
          <t>15万円/社</t>
        </is>
      </c>
      <c r="B22" s="25">
        <f>ROUND(前提条件!B15*0.75,0)</f>
        <v/>
      </c>
      <c r="C22" s="25">
        <f>ROUND(前提条件!B26*0.75,0)</f>
        <v/>
      </c>
      <c r="D22" s="25">
        <f>ROUND(前提条件!B40*0.75,0)</f>
        <v/>
      </c>
      <c r="E22" s="39" t="n">
        <v>-0.25</v>
      </c>
    </row>
    <row r="23">
      <c r="A23" s="24" t="inlineStr">
        <is>
          <t>17万円/社</t>
        </is>
      </c>
      <c r="B23" s="25">
        <f>ROUND(前提条件!B15*0.85,0)</f>
        <v/>
      </c>
      <c r="C23" s="25">
        <f>ROUND(前提条件!B26*0.85,0)</f>
        <v/>
      </c>
      <c r="D23" s="25">
        <f>ROUND(前提条件!B40*0.85,0)</f>
        <v/>
      </c>
      <c r="E23" s="39" t="n">
        <v>-0.15</v>
      </c>
    </row>
    <row r="24">
      <c r="A24" s="40" t="inlineStr">
        <is>
          <t>20万円/社  ★Base</t>
        </is>
      </c>
      <c r="B24" s="38">
        <f>ROUND(前提条件!B15*1.0,0)</f>
        <v/>
      </c>
      <c r="C24" s="38">
        <f>ROUND(前提条件!B26*1.0,0)</f>
        <v/>
      </c>
      <c r="D24" s="38">
        <f>ROUND(前提条件!B40*1.0,0)</f>
        <v/>
      </c>
      <c r="E24" s="41" t="n">
        <v>0</v>
      </c>
    </row>
    <row r="25">
      <c r="A25" s="14" t="inlineStr">
        <is>
          <t>23万円/社</t>
        </is>
      </c>
      <c r="B25" s="15">
        <f>ROUND(前提条件!B15*1.15,0)</f>
        <v/>
      </c>
      <c r="C25" s="15">
        <f>ROUND(前提条件!B26*1.15,0)</f>
        <v/>
      </c>
      <c r="D25" s="15">
        <f>ROUND(前提条件!B40*1.15,0)</f>
        <v/>
      </c>
      <c r="E25" s="42" t="n">
        <v>0.15</v>
      </c>
    </row>
    <row r="26">
      <c r="A26" s="14" t="inlineStr">
        <is>
          <t>25万円/社</t>
        </is>
      </c>
      <c r="B26" s="15">
        <f>ROUND(前提条件!B15*1.25,0)</f>
        <v/>
      </c>
      <c r="C26" s="15">
        <f>ROUND(前提条件!B26*1.25,0)</f>
        <v/>
      </c>
      <c r="D26" s="15">
        <f>ROUND(前提条件!B40*1.25,0)</f>
        <v/>
      </c>
      <c r="E26" s="42" t="n">
        <v>0.25</v>
      </c>
    </row>
    <row r="28">
      <c r="A28" s="36" t="inlineStr">
        <is>
          <t>▌3シナリオサマリー（前提条件基準値 × 倍率）</t>
        </is>
      </c>
    </row>
    <row r="29">
      <c r="A29" s="4" t="inlineStr">
        <is>
          <t>シナリオ</t>
        </is>
      </c>
      <c r="B29" s="4" t="inlineStr">
        <is>
          <t>Y1 売上</t>
        </is>
      </c>
      <c r="C29" s="4" t="inlineStr">
        <is>
          <t>Y1 粗利</t>
        </is>
      </c>
      <c r="D29" s="4" t="inlineStr">
        <is>
          <t>Y1 営業利益</t>
        </is>
      </c>
      <c r="E29" s="4" t="inlineStr">
        <is>
          <t>Y2 売上</t>
        </is>
      </c>
      <c r="F29" s="4" t="inlineStr">
        <is>
          <t>Y2 粗利</t>
        </is>
      </c>
      <c r="G29" s="4" t="inlineStr">
        <is>
          <t>Y2 営業利益</t>
        </is>
      </c>
      <c r="H29" s="4" t="inlineStr">
        <is>
          <t>Y3 売上</t>
        </is>
      </c>
      <c r="I29" s="4" t="inlineStr">
        <is>
          <t>Y3 営業利益</t>
        </is>
      </c>
    </row>
    <row r="30">
      <c r="A30" s="24" t="inlineStr">
        <is>
          <t>Bear（悲観）  ×0.70</t>
        </is>
      </c>
      <c r="B30" s="25">
        <f>ROUND(前提条件!B15*0.7,0)</f>
        <v/>
      </c>
      <c r="C30" s="25">
        <f>ROUND(前提条件!B26*0.7,0)</f>
        <v/>
      </c>
      <c r="D30" s="25">
        <f>ROUND(前提条件!B40*0.7,0)</f>
        <v/>
      </c>
      <c r="E30" s="25">
        <f>ROUND(前提条件!C15*0.7,0)</f>
        <v/>
      </c>
      <c r="F30" s="25">
        <f>ROUND(前提条件!C26*0.7,0)</f>
        <v/>
      </c>
      <c r="G30" s="25">
        <f>ROUND(前提条件!C40*0.7,0)</f>
        <v/>
      </c>
      <c r="H30" s="25">
        <f>ROUND(前提条件!D15*0.7,0)</f>
        <v/>
      </c>
      <c r="I30" s="25">
        <f>ROUND(前提条件!D40*0.7,0)</f>
        <v/>
      </c>
    </row>
    <row r="31">
      <c r="A31" s="40" t="inlineStr">
        <is>
          <t>Base（中央）  ×1.00</t>
        </is>
      </c>
      <c r="B31" s="38">
        <f>ROUND(前提条件!B15*1.0,0)</f>
        <v/>
      </c>
      <c r="C31" s="38">
        <f>ROUND(前提条件!B26*1.0,0)</f>
        <v/>
      </c>
      <c r="D31" s="38">
        <f>ROUND(前提条件!B40*1.0,0)</f>
        <v/>
      </c>
      <c r="E31" s="38">
        <f>ROUND(前提条件!C15*1.0,0)</f>
        <v/>
      </c>
      <c r="F31" s="38">
        <f>ROUND(前提条件!C26*1.0,0)</f>
        <v/>
      </c>
      <c r="G31" s="38">
        <f>ROUND(前提条件!C40*1.0,0)</f>
        <v/>
      </c>
      <c r="H31" s="38">
        <f>ROUND(前提条件!D15*1.0,0)</f>
        <v/>
      </c>
      <c r="I31" s="38">
        <f>ROUND(前提条件!D40*1.0,0)</f>
        <v/>
      </c>
    </row>
    <row r="32">
      <c r="A32" s="14" t="inlineStr">
        <is>
          <t>Bull（楽観）  ×1.30</t>
        </is>
      </c>
      <c r="B32" s="15">
        <f>ROUND(前提条件!B15*1.3,0)</f>
        <v/>
      </c>
      <c r="C32" s="15">
        <f>ROUND(前提条件!B26*1.3,0)</f>
        <v/>
      </c>
      <c r="D32" s="15">
        <f>ROUND(前提条件!B40*1.3,0)</f>
        <v/>
      </c>
      <c r="E32" s="15">
        <f>ROUND(前提条件!C15*1.3,0)</f>
        <v/>
      </c>
      <c r="F32" s="15">
        <f>ROUND(前提条件!C26*1.3,0)</f>
        <v/>
      </c>
      <c r="G32" s="15">
        <f>ROUND(前提条件!C40*1.3,0)</f>
        <v/>
      </c>
      <c r="H32" s="15">
        <f>ROUND(前提条件!D15*1.3,0)</f>
        <v/>
      </c>
      <c r="I32" s="15">
        <f>ROUND(前提条件!D40*1.3,0)</f>
        <v/>
      </c>
    </row>
    <row r="35">
      <c r="A35" s="87" t="inlineStr">
        <is>
          <t>▌外部認定FDE（変動費化）試算  ─  Year2 FDE採用8名中3名を業務委託（外部）に置き換えた場合のコスト削減効果</t>
        </is>
      </c>
    </row>
    <row r="36">
      <c r="A36" s="48" t="inlineStr">
        <is>
          <t>区分</t>
        </is>
      </c>
      <c r="B36" s="48" t="inlineStr">
        <is>
          <t>人数</t>
        </is>
      </c>
      <c r="C36" s="48" t="inlineStr">
        <is>
          <t>月額単価（万円）</t>
        </is>
      </c>
      <c r="D36" s="48" t="inlineStr">
        <is>
          <t>法定福利費率</t>
        </is>
      </c>
      <c r="E36" s="48" t="inlineStr">
        <is>
          <t>年間コスト（万円）</t>
        </is>
      </c>
      <c r="F36" s="48" t="inlineStr">
        <is>
          <t>現状比</t>
        </is>
      </c>
      <c r="G36" s="48" t="inlineStr">
        <is>
          <t>備考</t>
        </is>
      </c>
    </row>
    <row r="37">
      <c r="A37" s="88" t="inlineStr">
        <is>
          <t>現状：内部正社員 8名全員</t>
        </is>
      </c>
      <c r="B37" s="89" t="n">
        <v>8</v>
      </c>
      <c r="C37" s="89" t="n">
        <v>45</v>
      </c>
      <c r="D37" s="89" t="inlineStr">
        <is>
          <t>×1.15</t>
        </is>
      </c>
      <c r="E37" s="89" t="n">
        <v>6210</v>
      </c>
      <c r="F37" s="89" t="inlineStr">
        <is>
          <t>─</t>
        </is>
      </c>
      <c r="G37" s="89" t="inlineStr">
        <is>
          <t>8名×月45万×1.15×12ヶ月</t>
        </is>
      </c>
    </row>
    <row r="38">
      <c r="A38" s="54" t="inlineStr">
        <is>
          <t>改善案：内部正社員 5名</t>
        </is>
      </c>
      <c r="B38" s="56" t="n">
        <v>5</v>
      </c>
      <c r="C38" s="56" t="n">
        <v>45</v>
      </c>
      <c r="D38" s="56" t="inlineStr">
        <is>
          <t>×1.15</t>
        </is>
      </c>
      <c r="E38" s="56" t="n">
        <v>3105</v>
      </c>
      <c r="F38" s="56" t="inlineStr">
        <is>
          <t>△3,105万</t>
        </is>
      </c>
      <c r="G38" s="56" t="inlineStr">
        <is>
          <t>5名×月45万×1.15×12</t>
        </is>
      </c>
    </row>
    <row r="39">
      <c r="A39" s="54" t="inlineStr">
        <is>
          <t>改善案：外部認定FDE 3名</t>
        </is>
      </c>
      <c r="B39" s="56" t="n">
        <v>3</v>
      </c>
      <c r="C39" s="56" t="n">
        <v>70</v>
      </c>
      <c r="D39" s="56" t="inlineStr">
        <is>
          <t>─</t>
        </is>
      </c>
      <c r="E39" s="56" t="n">
        <v>2520</v>
      </c>
      <c r="F39" s="56" t="inlineStr">
        <is>
          <t>─</t>
        </is>
      </c>
      <c r="G39" s="56" t="inlineStr">
        <is>
          <t>3名×月70万（委託）×12 ※社保なし</t>
        </is>
      </c>
    </row>
    <row r="40">
      <c r="A40" s="90" t="inlineStr">
        <is>
          <t>改善案 合計</t>
        </is>
      </c>
      <c r="B40" s="91" t="n">
        <v>8</v>
      </c>
      <c r="C40" s="91" t="inlineStr">
        <is>
          <t>─</t>
        </is>
      </c>
      <c r="D40" s="91" t="inlineStr">
        <is>
          <t>─</t>
        </is>
      </c>
      <c r="E40" s="91" t="n">
        <v>5625</v>
      </c>
      <c r="F40" s="91" t="inlineStr">
        <is>
          <t>△585万</t>
        </is>
      </c>
      <c r="G40" s="91" t="inlineStr">
        <is>
          <t>5,625万 vs 現状6,210万 → △585万/年 削減</t>
        </is>
      </c>
    </row>
    <row r="41">
      <c r="A41" s="92" t="inlineStr">
        <is>
          <t>※ 外部認定FDEへの変動費転換効果: Year2で△585万、Year3（外部FDE6名想定）で△1,170万のコスト削減。採用リスク軽減と SOM 上振れ（認定FDEプラットフォームフィー収益）の両面で効果あり。</t>
        </is>
      </c>
    </row>
    <row r="44">
      <c r="A44" s="87" t="inlineStr">
        <is>
          <t>▌FDE変動報酬（インセンティブ制）試算  ─  固定給45万 → 基本給35万 + 担当社数インセンティブ（6社以上で+10万）</t>
        </is>
      </c>
    </row>
    <row r="45">
      <c r="A45" s="48" t="inlineStr">
        <is>
          <t>フェーズ</t>
        </is>
      </c>
      <c r="B45" s="48" t="inlineStr">
        <is>
          <t>担当社数</t>
        </is>
      </c>
      <c r="C45" s="48" t="inlineStr">
        <is>
          <t>月額給与（変動給）</t>
        </is>
      </c>
      <c r="D45" s="48" t="inlineStr">
        <is>
          <t>月額給与（固定給）</t>
        </is>
      </c>
      <c r="E45" s="48" t="inlineStr">
        <is>
          <t>差額/名/月</t>
        </is>
      </c>
      <c r="F45" s="48" t="inlineStr">
        <is>
          <t>FDE人数</t>
        </is>
      </c>
      <c r="G45" s="48" t="inlineStr">
        <is>
          <t>年間削減効果（万円）</t>
        </is>
      </c>
    </row>
    <row r="46">
      <c r="A46" s="93" t="inlineStr">
        <is>
          <t>オンボーディング（0〜5社）</t>
        </is>
      </c>
      <c r="B46" s="94" t="inlineStr">
        <is>
          <t>0〜5社</t>
        </is>
      </c>
      <c r="C46" s="94" t="inlineStr">
        <is>
          <t>35万円（基本給のみ）</t>
        </is>
      </c>
      <c r="D46" s="94" t="inlineStr">
        <is>
          <t>45万円</t>
        </is>
      </c>
      <c r="E46" s="94" t="inlineStr">
        <is>
          <t>△10万円</t>
        </is>
      </c>
      <c r="F46" s="94" t="inlineStr">
        <is>
          <t>採用後3ヶ月想定</t>
        </is>
      </c>
      <c r="G46" s="94" t="inlineStr">
        <is>
          <t>22名×10万×3ヶ月 = 660万</t>
        </is>
      </c>
    </row>
    <row r="47">
      <c r="A47" s="54" t="inlineStr">
        <is>
          <t>フル稼働（6社達成）</t>
        </is>
      </c>
      <c r="B47" s="56" t="inlineStr">
        <is>
          <t>6社以上</t>
        </is>
      </c>
      <c r="C47" s="56" t="inlineStr">
        <is>
          <t>45万円（基本+10万）</t>
        </is>
      </c>
      <c r="D47" s="56" t="inlineStr">
        <is>
          <t>45万円</t>
        </is>
      </c>
      <c r="E47" s="56" t="inlineStr">
        <is>
          <t>0万円</t>
        </is>
      </c>
      <c r="F47" s="56" t="inlineStr">
        <is>
          <t>─</t>
        </is>
      </c>
      <c r="G47" s="56" t="inlineStr">
        <is>
          <t>損益分岐後は同額</t>
        </is>
      </c>
    </row>
    <row r="48">
      <c r="A48" s="54" t="inlineStr">
        <is>
          <t>超過達成（7〜8社）</t>
        </is>
      </c>
      <c r="B48" s="56" t="inlineStr">
        <is>
          <t>7〜8社</t>
        </is>
      </c>
      <c r="C48" s="56" t="inlineStr">
        <is>
          <t>最大55万円（+追加10万）</t>
        </is>
      </c>
      <c r="D48" s="56" t="inlineStr">
        <is>
          <t>45万円</t>
        </is>
      </c>
      <c r="E48" s="56" t="inlineStr">
        <is>
          <t>+10万円</t>
        </is>
      </c>
      <c r="F48" s="56" t="inlineStr">
        <is>
          <t>高パフォーマー</t>
        </is>
      </c>
      <c r="G48" s="56" t="inlineStr">
        <is>
          <t>業績連動でFDE定着率向上</t>
        </is>
      </c>
    </row>
    <row r="49">
      <c r="A49" s="90" t="inlineStr">
        <is>
          <t>★ Year3 変動報酬適用時の削減効果（試算）</t>
        </is>
      </c>
      <c r="B49" s="95" t="inlineStr">
        <is>
          <t>─</t>
        </is>
      </c>
      <c r="C49" s="95" t="inlineStr">
        <is>
          <t>─</t>
        </is>
      </c>
      <c r="D49" s="95" t="inlineStr">
        <is>
          <t>─</t>
        </is>
      </c>
      <c r="E49" s="95" t="inlineStr">
        <is>
          <t>─</t>
        </is>
      </c>
      <c r="F49" s="91" t="inlineStr">
        <is>
          <t>新規FDE 22名 × 3ヶ月</t>
        </is>
      </c>
      <c r="G49" s="90" t="inlineStr">
        <is>
          <t>660万円削減（超保守→ベース差縮小に貢献）</t>
        </is>
      </c>
    </row>
    <row r="50">
      <c r="A50" s="92" t="inlineStr">
        <is>
          <t>※ 変動報酬制の主効果: 採用直後の固定費バーンレート低減（超保守シナリオの悲観度が改善）。6社達成後は固定給と同額のため高パフォーマーの不満なし。達成インセンティブがFDE稼働率・顧客満足度向上に連鎖。</t>
        </is>
      </c>
    </row>
  </sheetData>
  <mergeCells count="10">
    <mergeCell ref="A44:G44"/>
    <mergeCell ref="A2:I2"/>
    <mergeCell ref="A28:I28"/>
    <mergeCell ref="A41:G41"/>
    <mergeCell ref="A50:G50"/>
    <mergeCell ref="A35:G35"/>
    <mergeCell ref="A1:I1"/>
    <mergeCell ref="A12:I12"/>
    <mergeCell ref="A4:I4"/>
    <mergeCell ref="A20:I2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2" customWidth="1" min="4" max="4"/>
    <col width="15" customWidth="1" min="5" max="5"/>
    <col width="15" customWidth="1" min="6" max="6"/>
    <col width="12" customWidth="1" min="7" max="7"/>
    <col width="15" customWidth="1" min="8" max="8"/>
    <col width="15" customWidth="1" min="9" max="9"/>
    <col width="12" customWidth="1" min="10" max="10"/>
  </cols>
  <sheetData>
    <row r="1" ht="28" customHeight="1">
      <c r="A1" s="59" t="inlineStr">
        <is>
          <t>UNLID ベースシナリオ比較 v5.0  ─  期中平均ヘッドカウント適用  |  超保守モデルとの比較</t>
        </is>
      </c>
    </row>
    <row r="2" ht="30" customHeight="1">
      <c r="A2" s="60" t="inlineStr">
        <is>
          <t>★ 超保守モデル（本体PL）：期末HC×12ヶ月でコスト計上。ベースシナリオ：期中平均HC×12ヶ月で計上。売上・COGS・採用費・固定費は両シナリオ共通。</t>
        </is>
      </c>
    </row>
    <row r="4" ht="22" customHeight="1">
      <c r="A4" s="61" t="inlineStr">
        <is>
          <t>① 期中平均ヘッドカウント（役職別）  ─  (期首HC + 期末HC) ÷ 2</t>
        </is>
      </c>
    </row>
    <row r="5" ht="36" customHeight="1">
      <c r="A5" s="62" t="inlineStr">
        <is>
          <t>役職</t>
        </is>
      </c>
      <c r="B5" s="63" t="inlineStr">
        <is>
          <t>Y1期末HC
（保守）</t>
        </is>
      </c>
      <c r="C5" s="63" t="inlineStr">
        <is>
          <t>Y1期中平均
（ベース）</t>
        </is>
      </c>
      <c r="D5" s="63" t="inlineStr">
        <is>
          <t>Y2期末HC
（保守）</t>
        </is>
      </c>
      <c r="E5" s="63" t="inlineStr">
        <is>
          <t>Y2期中平均
（ベース）</t>
        </is>
      </c>
      <c r="F5" s="63" t="inlineStr">
        <is>
          <t>Y3期末HC
（保守）</t>
        </is>
      </c>
      <c r="G5" s="63" t="inlineStr">
        <is>
          <t>Y3期中平均
（ベース）</t>
        </is>
      </c>
    </row>
    <row r="6">
      <c r="A6" s="64" t="inlineStr">
        <is>
          <t>CEO / 創業者</t>
        </is>
      </c>
      <c r="B6" s="65">
        <f>人員計画!D15</f>
        <v/>
      </c>
      <c r="C6" s="66">
        <f>ROUND((人員計画!B15+人員計画!D15)/2,1)</f>
        <v/>
      </c>
      <c r="D6" s="65">
        <f>人員計画!F15</f>
        <v/>
      </c>
      <c r="E6" s="66">
        <f>ROUND((人員計画!D15+人員計画!F15)/2,1)</f>
        <v/>
      </c>
      <c r="F6" s="65">
        <f>人員計画!H15</f>
        <v/>
      </c>
      <c r="G6" s="66">
        <f>ROUND((人員計画!F15+人員計画!H15)/2,1)</f>
        <v/>
      </c>
    </row>
    <row r="7">
      <c r="A7" s="67" t="inlineStr">
        <is>
          <t>FDE（フラクショナルFDE）</t>
        </is>
      </c>
      <c r="B7" s="68">
        <f>人員計画!D16</f>
        <v/>
      </c>
      <c r="C7" s="66">
        <f>ROUND((人員計画!B16+人員計画!D16)/2,1)</f>
        <v/>
      </c>
      <c r="D7" s="68">
        <f>人員計画!F16</f>
        <v/>
      </c>
      <c r="E7" s="66">
        <f>ROUND((人員計画!D16+人員計画!F16)/2,1)</f>
        <v/>
      </c>
      <c r="F7" s="68">
        <f>人員計画!H16</f>
        <v/>
      </c>
      <c r="G7" s="66">
        <f>ROUND((人員計画!F16+人員計画!H16)/2,1)</f>
        <v/>
      </c>
    </row>
    <row r="8">
      <c r="A8" s="64" t="inlineStr">
        <is>
          <t>CSM（カスタマーサクセス）</t>
        </is>
      </c>
      <c r="B8" s="65">
        <f>人員計画!D17</f>
        <v/>
      </c>
      <c r="C8" s="66">
        <f>ROUND((人員計画!B17+人員計画!D17)/2,1)</f>
        <v/>
      </c>
      <c r="D8" s="65">
        <f>人員計画!F17</f>
        <v/>
      </c>
      <c r="E8" s="66">
        <f>ROUND((人員計画!D17+人員計画!F17)/2,1)</f>
        <v/>
      </c>
      <c r="F8" s="65">
        <f>人員計画!H17</f>
        <v/>
      </c>
      <c r="G8" s="66">
        <f>ROUND((人員計画!F17+人員計画!H17)/2,1)</f>
        <v/>
      </c>
    </row>
    <row r="9">
      <c r="A9" s="67" t="inlineStr">
        <is>
          <t>PM（プロジェクトMgr）</t>
        </is>
      </c>
      <c r="B9" s="68">
        <f>人員計画!D18</f>
        <v/>
      </c>
      <c r="C9" s="66">
        <f>ROUND((人員計画!B18+人員計画!D18)/2,1)</f>
        <v/>
      </c>
      <c r="D9" s="68">
        <f>人員計画!F18</f>
        <v/>
      </c>
      <c r="E9" s="66">
        <f>ROUND((人員計画!D18+人員計画!F18)/2,1)</f>
        <v/>
      </c>
      <c r="F9" s="68">
        <f>人員計画!H18</f>
        <v/>
      </c>
      <c r="G9" s="66">
        <f>ROUND((人員計画!F18+人員計画!H18)/2,1)</f>
        <v/>
      </c>
    </row>
    <row r="10">
      <c r="A10" s="64" t="inlineStr">
        <is>
          <t>AIエンジニア</t>
        </is>
      </c>
      <c r="B10" s="65">
        <f>人員計画!D19</f>
        <v/>
      </c>
      <c r="C10" s="66">
        <f>ROUND((人員計画!B19+人員計画!D19)/2,1)</f>
        <v/>
      </c>
      <c r="D10" s="65">
        <f>人員計画!F19</f>
        <v/>
      </c>
      <c r="E10" s="66">
        <f>ROUND((人員計画!D19+人員計画!F19)/2,1)</f>
        <v/>
      </c>
      <c r="F10" s="65">
        <f>人員計画!H19</f>
        <v/>
      </c>
      <c r="G10" s="66">
        <f>ROUND((人員計画!F19+人員計画!H19)/2,1)</f>
        <v/>
      </c>
    </row>
    <row r="11">
      <c r="A11" s="67" t="inlineStr">
        <is>
          <t>Admin / BizDev</t>
        </is>
      </c>
      <c r="B11" s="68">
        <f>人員計画!D20</f>
        <v/>
      </c>
      <c r="C11" s="66">
        <f>ROUND((人員計画!B20+人員計画!D20)/2,1)</f>
        <v/>
      </c>
      <c r="D11" s="68">
        <f>人員計画!F20</f>
        <v/>
      </c>
      <c r="E11" s="66">
        <f>ROUND((人員計画!D20+人員計画!F20)/2,1)</f>
        <v/>
      </c>
      <c r="F11" s="68">
        <f>人員計画!H20</f>
        <v/>
      </c>
      <c r="G11" s="66">
        <f>ROUND((人員計画!F20+人員計画!H20)/2,1)</f>
        <v/>
      </c>
    </row>
    <row r="12" ht="18" customHeight="1">
      <c r="A12" s="69" t="inlineStr">
        <is>
          <t>合計（人）</t>
        </is>
      </c>
      <c r="B12" s="70">
        <f>人員計画!D21</f>
        <v/>
      </c>
      <c r="C12" s="71">
        <f>ROUND(SUM(C6:C11),1)</f>
        <v/>
      </c>
      <c r="D12" s="70">
        <f>人員計画!F21</f>
        <v/>
      </c>
      <c r="E12" s="71">
        <f>ROUND(SUM(E6:E11),1)</f>
        <v/>
      </c>
      <c r="F12" s="70">
        <f>人員計画!H21</f>
        <v/>
      </c>
      <c r="G12" s="71">
        <f>ROUND(SUM(G6:G11),1)</f>
        <v/>
      </c>
      <c r="H12" s="72" t="n"/>
      <c r="I12" s="72" t="n"/>
      <c r="J12" s="72" t="n"/>
    </row>
    <row r="14" ht="22" customHeight="1">
      <c r="A14" s="61" t="inlineStr">
        <is>
          <t>② 人件費比較（万円）  ─  月額給与 × (1+15%) × 12ヶ月 × ヘッドカウント</t>
        </is>
      </c>
    </row>
    <row r="15" ht="18" customHeight="1">
      <c r="A15" s="62" t="inlineStr">
        <is>
          <t>役職</t>
        </is>
      </c>
      <c r="B15" s="63" t="inlineStr">
        <is>
          <t>超保守 Y1</t>
        </is>
      </c>
      <c r="C15" s="63" t="inlineStr">
        <is>
          <t>ベース Y1</t>
        </is>
      </c>
      <c r="D15" s="63" t="inlineStr">
        <is>
          <t>差額 Y1</t>
        </is>
      </c>
      <c r="E15" s="63" t="inlineStr">
        <is>
          <t>超保守 Y2</t>
        </is>
      </c>
      <c r="F15" s="63" t="inlineStr">
        <is>
          <t>ベース Y2</t>
        </is>
      </c>
      <c r="G15" s="63" t="inlineStr">
        <is>
          <t>差額 Y2</t>
        </is>
      </c>
      <c r="H15" s="63" t="inlineStr">
        <is>
          <t>超保守 Y3</t>
        </is>
      </c>
      <c r="I15" s="63" t="inlineStr">
        <is>
          <t>ベース Y3</t>
        </is>
      </c>
      <c r="J15" s="63" t="inlineStr">
        <is>
          <t>差額 Y3</t>
        </is>
      </c>
    </row>
    <row r="16">
      <c r="A16" s="64" t="inlineStr">
        <is>
          <t>CEO / 創業者</t>
        </is>
      </c>
      <c r="B16" s="73">
        <f>人員計画!D26</f>
        <v/>
      </c>
      <c r="C16" s="74">
        <f>ROUND(人員計画!B6*(1+人員計画!C6)*12*(人員計画!B15+人員計画!D15)/2,0)</f>
        <v/>
      </c>
      <c r="D16" s="75">
        <f>C16-B16</f>
        <v/>
      </c>
      <c r="E16" s="73">
        <f>人員計画!E26</f>
        <v/>
      </c>
      <c r="F16" s="74">
        <f>ROUND(人員計画!B6*(1+人員計画!C6)*12*(人員計画!D15+人員計画!F15)/2,0)</f>
        <v/>
      </c>
      <c r="G16" s="75">
        <f>F16-E16</f>
        <v/>
      </c>
      <c r="H16" s="73">
        <f>人員計画!F26</f>
        <v/>
      </c>
      <c r="I16" s="74">
        <f>ROUND(人員計画!B6*(1+人員計画!C6)*12*(人員計画!F15+人員計画!H15)/2,0)</f>
        <v/>
      </c>
      <c r="J16" s="75">
        <f>I16-H16</f>
        <v/>
      </c>
    </row>
    <row r="17">
      <c r="A17" s="67" t="inlineStr">
        <is>
          <t>FDE（フラクショナルFDE）</t>
        </is>
      </c>
      <c r="B17" s="76">
        <f>人員計画!D27</f>
        <v/>
      </c>
      <c r="C17" s="74">
        <f>ROUND(人員計画!B7*(1+人員計画!C7)*12*(人員計画!B16+人員計画!D16)/2,0)</f>
        <v/>
      </c>
      <c r="D17" s="75">
        <f>C17-B17</f>
        <v/>
      </c>
      <c r="E17" s="76">
        <f>人員計画!E27</f>
        <v/>
      </c>
      <c r="F17" s="74">
        <f>ROUND(人員計画!B7*(1+人員計画!C7)*12*(人員計画!D16+人員計画!F16)/2,0)</f>
        <v/>
      </c>
      <c r="G17" s="75">
        <f>F17-E17</f>
        <v/>
      </c>
      <c r="H17" s="76">
        <f>人員計画!F27</f>
        <v/>
      </c>
      <c r="I17" s="74">
        <f>ROUND(人員計画!B7*(1+人員計画!C7)*12*(人員計画!F16+人員計画!H16)/2,0)</f>
        <v/>
      </c>
      <c r="J17" s="75">
        <f>I17-H17</f>
        <v/>
      </c>
    </row>
    <row r="18">
      <c r="A18" s="64" t="inlineStr">
        <is>
          <t>CSM（カスタマーサクセス）</t>
        </is>
      </c>
      <c r="B18" s="73">
        <f>人員計画!D28</f>
        <v/>
      </c>
      <c r="C18" s="74">
        <f>ROUND(人員計画!B8*(1+人員計画!C8)*12*(人員計画!B17+人員計画!D17)/2,0)</f>
        <v/>
      </c>
      <c r="D18" s="75">
        <f>C18-B18</f>
        <v/>
      </c>
      <c r="E18" s="73">
        <f>人員計画!E28</f>
        <v/>
      </c>
      <c r="F18" s="74">
        <f>ROUND(人員計画!B8*(1+人員計画!C8)*12*(人員計画!D17+人員計画!F17)/2,0)</f>
        <v/>
      </c>
      <c r="G18" s="75">
        <f>F18-E18</f>
        <v/>
      </c>
      <c r="H18" s="73">
        <f>人員計画!F28</f>
        <v/>
      </c>
      <c r="I18" s="74">
        <f>ROUND(人員計画!B8*(1+人員計画!C8)*12*(人員計画!F17+人員計画!H17)/2,0)</f>
        <v/>
      </c>
      <c r="J18" s="75">
        <f>I18-H18</f>
        <v/>
      </c>
    </row>
    <row r="19">
      <c r="A19" s="67" t="inlineStr">
        <is>
          <t>PM（プロジェクトMgr）</t>
        </is>
      </c>
      <c r="B19" s="76">
        <f>人員計画!D29</f>
        <v/>
      </c>
      <c r="C19" s="74">
        <f>ROUND(人員計画!B9*(1+人員計画!C9)*12*(人員計画!B18+人員計画!D18)/2,0)</f>
        <v/>
      </c>
      <c r="D19" s="75">
        <f>C19-B19</f>
        <v/>
      </c>
      <c r="E19" s="76">
        <f>人員計画!E29</f>
        <v/>
      </c>
      <c r="F19" s="74">
        <f>ROUND(人員計画!B9*(1+人員計画!C9)*12*(人員計画!D18+人員計画!F18)/2,0)</f>
        <v/>
      </c>
      <c r="G19" s="75">
        <f>F19-E19</f>
        <v/>
      </c>
      <c r="H19" s="76">
        <f>人員計画!F29</f>
        <v/>
      </c>
      <c r="I19" s="74">
        <f>ROUND(人員計画!B9*(1+人員計画!C9)*12*(人員計画!F18+人員計画!H18)/2,0)</f>
        <v/>
      </c>
      <c r="J19" s="75">
        <f>I19-H19</f>
        <v/>
      </c>
    </row>
    <row r="20">
      <c r="A20" s="64" t="inlineStr">
        <is>
          <t>AIエンジニア</t>
        </is>
      </c>
      <c r="B20" s="73">
        <f>人員計画!D30</f>
        <v/>
      </c>
      <c r="C20" s="74">
        <f>ROUND(人員計画!B10*(1+人員計画!C10)*12*(人員計画!B19+人員計画!D19)/2,0)</f>
        <v/>
      </c>
      <c r="D20" s="75">
        <f>C20-B20</f>
        <v/>
      </c>
      <c r="E20" s="73">
        <f>人員計画!E30</f>
        <v/>
      </c>
      <c r="F20" s="74">
        <f>ROUND(人員計画!B10*(1+人員計画!C10)*12*(人員計画!D19+人員計画!F19)/2,0)</f>
        <v/>
      </c>
      <c r="G20" s="75">
        <f>F20-E20</f>
        <v/>
      </c>
      <c r="H20" s="73">
        <f>人員計画!F30</f>
        <v/>
      </c>
      <c r="I20" s="74">
        <f>ROUND(人員計画!B10*(1+人員計画!C10)*12*(人員計画!F19+人員計画!H19)/2,0)</f>
        <v/>
      </c>
      <c r="J20" s="75">
        <f>I20-H20</f>
        <v/>
      </c>
    </row>
    <row r="21">
      <c r="A21" s="67" t="inlineStr">
        <is>
          <t>Admin / BizDev</t>
        </is>
      </c>
      <c r="B21" s="76">
        <f>人員計画!D31</f>
        <v/>
      </c>
      <c r="C21" s="74">
        <f>ROUND(人員計画!B11*(1+人員計画!C11)*12*(人員計画!B20+人員計画!D20)/2,0)</f>
        <v/>
      </c>
      <c r="D21" s="75">
        <f>C21-B21</f>
        <v/>
      </c>
      <c r="E21" s="76">
        <f>人員計画!E31</f>
        <v/>
      </c>
      <c r="F21" s="74">
        <f>ROUND(人員計画!B11*(1+人員計画!C11)*12*(人員計画!D20+人員計画!F20)/2,0)</f>
        <v/>
      </c>
      <c r="G21" s="75">
        <f>F21-E21</f>
        <v/>
      </c>
      <c r="H21" s="76">
        <f>人員計画!F31</f>
        <v/>
      </c>
      <c r="I21" s="74">
        <f>ROUND(人員計画!B11*(1+人員計画!C11)*12*(人員計画!F20+人員計画!H20)/2,0)</f>
        <v/>
      </c>
      <c r="J21" s="75">
        <f>I21-H21</f>
        <v/>
      </c>
    </row>
    <row r="22" ht="18" customHeight="1">
      <c r="A22" s="69" t="inlineStr">
        <is>
          <t>人件費合計（万円）</t>
        </is>
      </c>
      <c r="B22" s="77">
        <f>人員計画!D32</f>
        <v/>
      </c>
      <c r="C22" s="78">
        <f>SUM(C16:C21)</f>
        <v/>
      </c>
      <c r="D22" s="77">
        <f>C22-B22</f>
        <v/>
      </c>
      <c r="E22" s="77">
        <f>人員計画!E32</f>
        <v/>
      </c>
      <c r="F22" s="78">
        <f>SUM(F16:F21)</f>
        <v/>
      </c>
      <c r="G22" s="77">
        <f>F22-E22</f>
        <v/>
      </c>
      <c r="H22" s="77">
        <f>人員計画!F32</f>
        <v/>
      </c>
      <c r="I22" s="78">
        <f>SUM(I16:I21)</f>
        <v/>
      </c>
      <c r="J22" s="77">
        <f>I22-H22</f>
        <v/>
      </c>
    </row>
    <row r="24" ht="22" customHeight="1">
      <c r="A24" s="61" t="inlineStr">
        <is>
          <t>③ 調整済みPL比較（万円）  ─  売上・COGS・採用費・固定費は同一。人件費のみ異なる。</t>
        </is>
      </c>
    </row>
    <row r="25" ht="18" customHeight="1">
      <c r="A25" s="62" t="inlineStr">
        <is>
          <t>項目</t>
        </is>
      </c>
      <c r="B25" s="63" t="inlineStr">
        <is>
          <t>超保守 Y1</t>
        </is>
      </c>
      <c r="C25" s="63" t="inlineStr">
        <is>
          <t>ベース Y1</t>
        </is>
      </c>
      <c r="D25" s="63" t="inlineStr">
        <is>
          <t>差額 Y1</t>
        </is>
      </c>
      <c r="E25" s="63" t="inlineStr">
        <is>
          <t>超保守 Y2</t>
        </is>
      </c>
      <c r="F25" s="63" t="inlineStr">
        <is>
          <t>ベース Y2</t>
        </is>
      </c>
      <c r="G25" s="63" t="inlineStr">
        <is>
          <t>差額 Y2</t>
        </is>
      </c>
      <c r="H25" s="63" t="inlineStr">
        <is>
          <t>超保守 Y3</t>
        </is>
      </c>
      <c r="I25" s="63" t="inlineStr">
        <is>
          <t>ベース Y3</t>
        </is>
      </c>
      <c r="J25" s="63" t="inlineStr">
        <is>
          <t>差額 Y3</t>
        </is>
      </c>
    </row>
    <row r="26">
      <c r="A26" s="79" t="inlineStr">
        <is>
          <t>売上合計</t>
        </is>
      </c>
      <c r="B26" s="75">
        <f>前提条件!B15</f>
        <v/>
      </c>
      <c r="C26" s="74">
        <f>前提条件!B15</f>
        <v/>
      </c>
      <c r="D26" s="75">
        <f>C26-B26</f>
        <v/>
      </c>
      <c r="E26" s="75">
        <f>前提条件!C15</f>
        <v/>
      </c>
      <c r="F26" s="74">
        <f>前提条件!C15</f>
        <v/>
      </c>
      <c r="G26" s="75">
        <f>F26-E26</f>
        <v/>
      </c>
      <c r="H26" s="75">
        <f>前提条件!D15</f>
        <v/>
      </c>
      <c r="I26" s="74">
        <f>前提条件!D15</f>
        <v/>
      </c>
      <c r="J26" s="75">
        <f>I26-H26</f>
        <v/>
      </c>
    </row>
    <row r="27">
      <c r="A27" s="79" t="inlineStr">
        <is>
          <t>COGS合計</t>
        </is>
      </c>
      <c r="B27" s="75">
        <f>前提条件!B25</f>
        <v/>
      </c>
      <c r="C27" s="74">
        <f>前提条件!B25</f>
        <v/>
      </c>
      <c r="D27" s="75">
        <f>C27-B27</f>
        <v/>
      </c>
      <c r="E27" s="75">
        <f>前提条件!C25</f>
        <v/>
      </c>
      <c r="F27" s="74">
        <f>前提条件!C25</f>
        <v/>
      </c>
      <c r="G27" s="75">
        <f>F27-E27</f>
        <v/>
      </c>
      <c r="H27" s="75">
        <f>前提条件!D25</f>
        <v/>
      </c>
      <c r="I27" s="74">
        <f>前提条件!D25</f>
        <v/>
      </c>
      <c r="J27" s="75">
        <f>I27-H27</f>
        <v/>
      </c>
    </row>
    <row r="28">
      <c r="A28" s="80" t="inlineStr">
        <is>
          <t>売上総利益</t>
        </is>
      </c>
      <c r="B28" s="81">
        <f>前提条件!B26</f>
        <v/>
      </c>
      <c r="C28" s="78">
        <f>前提条件!B26</f>
        <v/>
      </c>
      <c r="D28" s="75">
        <f>C28-B28</f>
        <v/>
      </c>
      <c r="E28" s="81">
        <f>前提条件!C26</f>
        <v/>
      </c>
      <c r="F28" s="78">
        <f>前提条件!C26</f>
        <v/>
      </c>
      <c r="G28" s="75">
        <f>F28-E28</f>
        <v/>
      </c>
      <c r="H28" s="81">
        <f>前提条件!D26</f>
        <v/>
      </c>
      <c r="I28" s="78">
        <f>前提条件!D26</f>
        <v/>
      </c>
      <c r="J28" s="75">
        <f>I28-H28</f>
        <v/>
      </c>
    </row>
    <row r="29">
      <c r="A29" s="67" t="inlineStr">
        <is>
          <t>人件費（人員費）</t>
        </is>
      </c>
      <c r="B29" s="76">
        <f>人員計画!D32</f>
        <v/>
      </c>
      <c r="C29" s="74">
        <f>C22</f>
        <v/>
      </c>
      <c r="D29" s="75">
        <f>C29-B29</f>
        <v/>
      </c>
      <c r="E29" s="76">
        <f>人員計画!E32</f>
        <v/>
      </c>
      <c r="F29" s="74">
        <f>F22</f>
        <v/>
      </c>
      <c r="G29" s="75">
        <f>F29-E29</f>
        <v/>
      </c>
      <c r="H29" s="76">
        <f>人員計画!F32</f>
        <v/>
      </c>
      <c r="I29" s="74">
        <f>I22</f>
        <v/>
      </c>
      <c r="J29" s="75">
        <f>I29-H29</f>
        <v/>
      </c>
    </row>
    <row r="30">
      <c r="A30" s="79" t="inlineStr">
        <is>
          <t>SG&amp;A合計</t>
        </is>
      </c>
      <c r="B30" s="75">
        <f>前提条件!B39</f>
        <v/>
      </c>
      <c r="C30" s="74">
        <f>B30-B29+C29</f>
        <v/>
      </c>
      <c r="D30" s="75">
        <f>C30-B30</f>
        <v/>
      </c>
      <c r="E30" s="75">
        <f>前提条件!C39</f>
        <v/>
      </c>
      <c r="F30" s="74">
        <f>E30-E29+F29</f>
        <v/>
      </c>
      <c r="G30" s="75">
        <f>F30-E30</f>
        <v/>
      </c>
      <c r="H30" s="75">
        <f>前提条件!D39</f>
        <v/>
      </c>
      <c r="I30" s="74">
        <f>H30-H29+I29</f>
        <v/>
      </c>
      <c r="J30" s="75">
        <f>I30-H30</f>
        <v/>
      </c>
    </row>
    <row r="31">
      <c r="A31" s="80" t="inlineStr">
        <is>
          <t>営業利益</t>
        </is>
      </c>
      <c r="B31" s="81">
        <f>前提条件!B40</f>
        <v/>
      </c>
      <c r="C31" s="78">
        <f>C28-C30</f>
        <v/>
      </c>
      <c r="D31" s="75">
        <f>C31-B31</f>
        <v/>
      </c>
      <c r="E31" s="81">
        <f>前提条件!C40</f>
        <v/>
      </c>
      <c r="F31" s="78">
        <f>F28-F30</f>
        <v/>
      </c>
      <c r="G31" s="75">
        <f>F31-E31</f>
        <v/>
      </c>
      <c r="H31" s="81">
        <f>前提条件!D40</f>
        <v/>
      </c>
      <c r="I31" s="78">
        <f>I28-I30</f>
        <v/>
      </c>
      <c r="J31" s="75">
        <f>I31-H31</f>
        <v/>
      </c>
    </row>
    <row r="32">
      <c r="A32" s="67" t="inlineStr">
        <is>
          <t>減価償却費</t>
        </is>
      </c>
      <c r="B32" s="76">
        <f>前提条件!B54</f>
        <v/>
      </c>
      <c r="C32" s="74">
        <f>前提条件!B54</f>
        <v/>
      </c>
      <c r="D32" s="75">
        <f>C32-B32</f>
        <v/>
      </c>
      <c r="E32" s="76">
        <f>前提条件!C54</f>
        <v/>
      </c>
      <c r="F32" s="74">
        <f>前提条件!C54</f>
        <v/>
      </c>
      <c r="G32" s="75">
        <f>F32-E32</f>
        <v/>
      </c>
      <c r="H32" s="76">
        <f>前提条件!D54</f>
        <v/>
      </c>
      <c r="I32" s="74">
        <f>前提条件!D54</f>
        <v/>
      </c>
      <c r="J32" s="75">
        <f>I32-H32</f>
        <v/>
      </c>
    </row>
    <row r="33">
      <c r="A33" s="80" t="inlineStr">
        <is>
          <t>EBITDA</t>
        </is>
      </c>
      <c r="B33" s="81">
        <f>前提条件!B103</f>
        <v/>
      </c>
      <c r="C33" s="78">
        <f>C31+C32</f>
        <v/>
      </c>
      <c r="D33" s="75">
        <f>C33-B33</f>
        <v/>
      </c>
      <c r="E33" s="81">
        <f>前提条件!C103</f>
        <v/>
      </c>
      <c r="F33" s="78">
        <f>F31+F32</f>
        <v/>
      </c>
      <c r="G33" s="75">
        <f>F33-E33</f>
        <v/>
      </c>
      <c r="H33" s="81">
        <f>前提条件!D103</f>
        <v/>
      </c>
      <c r="I33" s="78">
        <f>I31+I32</f>
        <v/>
      </c>
      <c r="J33" s="75">
        <f>I33-H33</f>
        <v/>
      </c>
    </row>
    <row r="35" ht="22" customHeight="1">
      <c r="A35" s="61" t="inlineStr">
        <is>
          <t>④ DSCR比較  ─  銀行が最重視。目安: 1.2倍以上=健全、1.5倍以上=優良</t>
        </is>
      </c>
    </row>
    <row r="36" ht="18" customHeight="1">
      <c r="A36" s="62" t="inlineStr">
        <is>
          <t>項目</t>
        </is>
      </c>
      <c r="B36" s="63" t="inlineStr">
        <is>
          <t>超保守 Y1</t>
        </is>
      </c>
      <c r="C36" s="63" t="inlineStr">
        <is>
          <t>ベース Y1</t>
        </is>
      </c>
      <c r="D36" s="63" t="inlineStr">
        <is>
          <t>超保守 Y2</t>
        </is>
      </c>
      <c r="E36" s="63" t="inlineStr">
        <is>
          <t>ベース Y2</t>
        </is>
      </c>
      <c r="F36" s="63" t="inlineStr">
        <is>
          <t>超保守 Y3</t>
        </is>
      </c>
      <c r="G36" s="63" t="inlineStr">
        <is>
          <t>ベース Y3</t>
        </is>
      </c>
    </row>
    <row r="37">
      <c r="A37" s="64" t="inlineStr">
        <is>
          <t>EBITDA（万円）</t>
        </is>
      </c>
      <c r="B37" s="73">
        <f>前提条件!B103</f>
        <v/>
      </c>
      <c r="C37" s="74">
        <f>C33</f>
        <v/>
      </c>
      <c r="D37" s="75">
        <f>前提条件!C103</f>
        <v/>
      </c>
      <c r="E37" s="74">
        <f>F33</f>
        <v/>
      </c>
      <c r="F37" s="75">
        <f>前提条件!D103</f>
        <v/>
      </c>
      <c r="G37" s="74">
        <f>I33</f>
        <v/>
      </c>
    </row>
    <row r="38">
      <c r="A38" s="67" t="inlineStr">
        <is>
          <t>年間元金返済</t>
        </is>
      </c>
      <c r="B38" s="76">
        <f>前提条件!B104</f>
        <v/>
      </c>
      <c r="C38" s="74">
        <f>前提条件!B104</f>
        <v/>
      </c>
      <c r="D38" s="75">
        <f>前提条件!C104</f>
        <v/>
      </c>
      <c r="E38" s="74">
        <f>前提条件!C104</f>
        <v/>
      </c>
      <c r="F38" s="75">
        <f>前提条件!D104</f>
        <v/>
      </c>
      <c r="G38" s="74">
        <f>前提条件!D104</f>
        <v/>
      </c>
    </row>
    <row r="39">
      <c r="A39" s="67" t="inlineStr">
        <is>
          <t>年間支払利息</t>
        </is>
      </c>
      <c r="B39" s="76">
        <f>前提条件!B105</f>
        <v/>
      </c>
      <c r="C39" s="74">
        <f>前提条件!B105</f>
        <v/>
      </c>
      <c r="D39" s="75">
        <f>前提条件!C105</f>
        <v/>
      </c>
      <c r="E39" s="74">
        <f>前提条件!C105</f>
        <v/>
      </c>
      <c r="F39" s="75">
        <f>前提条件!D105</f>
        <v/>
      </c>
      <c r="G39" s="74">
        <f>前提条件!D105</f>
        <v/>
      </c>
    </row>
    <row r="40">
      <c r="A40" s="67" t="inlineStr">
        <is>
          <t>返済合計（万円）</t>
        </is>
      </c>
      <c r="B40" s="76">
        <f>前提条件!B106</f>
        <v/>
      </c>
      <c r="C40" s="74">
        <f>前提条件!B106</f>
        <v/>
      </c>
      <c r="D40" s="75">
        <f>前提条件!C106</f>
        <v/>
      </c>
      <c r="E40" s="74">
        <f>前提条件!C106</f>
        <v/>
      </c>
      <c r="F40" s="75">
        <f>前提条件!D106</f>
        <v/>
      </c>
      <c r="G40" s="74">
        <f>前提条件!D106</f>
        <v/>
      </c>
    </row>
    <row r="41" ht="20" customHeight="1">
      <c r="A41" s="69" t="inlineStr">
        <is>
          <t>★ DSCR</t>
        </is>
      </c>
      <c r="B41" s="82">
        <f>IF(B37&gt;0,ROUND(B37/B40,2),"N/A")</f>
        <v/>
      </c>
      <c r="C41" s="83">
        <f>IF(C37&gt;0,ROUND(C37/C40,2),"N/A")</f>
        <v/>
      </c>
      <c r="D41" s="82">
        <f>IF(D37&gt;0,ROUND(D37/D40,2),"N/A")</f>
        <v/>
      </c>
      <c r="E41" s="83">
        <f>IF(E37&gt;0,ROUND(E37/E40,2),"N/A")</f>
        <v/>
      </c>
      <c r="F41" s="82">
        <f>IF(F37&gt;0,ROUND(F37/F40,2),"N/A")</f>
        <v/>
      </c>
      <c r="G41" s="83">
        <f>IF(G37&gt;0,ROUND(G37/G40,2),"N/A")</f>
        <v/>
      </c>
    </row>
    <row r="42" ht="18" customHeight="1">
      <c r="A42" s="84" t="inlineStr">
        <is>
          <t>判定</t>
        </is>
      </c>
      <c r="B42" s="85">
        <f>IF(ISNUMBER(B41),IF(B41&gt;=1.5,"◎優良(1.5x+)",IF(B41&gt;=1.2,"✓健全(1.2x+)","△要改善")),"─ 成長期赤字")</f>
        <v/>
      </c>
      <c r="C42" s="86">
        <f>IF(ISNUMBER(C41),IF(C41&gt;=1.5,"◎優良(1.5x+)",IF(C41&gt;=1.2,"✓健全(1.2x+)","△要改善")),"─ 成長期赤字")</f>
        <v/>
      </c>
      <c r="D42" s="85">
        <f>IF(ISNUMBER(D41),IF(D41&gt;=1.5,"◎優良(1.5x+)",IF(D41&gt;=1.2,"✓健全(1.2x+)","△要改善")),"─ 成長期赤字")</f>
        <v/>
      </c>
      <c r="E42" s="86">
        <f>IF(ISNUMBER(E41),IF(E41&gt;=1.5,"◎優良(1.5x+)",IF(E41&gt;=1.2,"✓健全(1.2x+)","△要改善")),"─ 成長期赤字")</f>
        <v/>
      </c>
      <c r="F42" s="85">
        <f>IF(ISNUMBER(F41),IF(F41&gt;=1.5,"◎優良(1.5x+)",IF(F41&gt;=1.2,"✓健全(1.2x+)","△要改善")),"─ 成長期赤字")</f>
        <v/>
      </c>
      <c r="G42" s="86">
        <f>IF(ISNUMBER(G41),IF(G41&gt;=1.5,"◎優良(1.5x+)",IF(G41&gt;=1.2,"✓健全(1.2x+)","△要改善")),"─ 成長期赤字")</f>
        <v/>
      </c>
    </row>
    <row r="44" ht="30" customHeight="1">
      <c r="A44" s="60" t="inlineStr">
        <is>
          <t>【注記】ベースシナリオ（黄色セル）は期中平均HC（=(期首HC+期末HC)/2）を使用。採用費・マーケ費・地代等の固定費は両シナリオ共通。超保守（本体PL）との差は人件費のみ。</t>
        </is>
      </c>
    </row>
    <row r="45" ht="30" customHeight="1">
      <c r="A45" s="60" t="inlineStr">
        <is>
          <t>【融資審査活用】本体PLの超保守シナリオで審査通過後、ベースシナリオを「経営計画の中央値」として提示可能。DSCR1.2倍以上（健全）の達成がY2ベース・Y3両シナリオで確認できれば返済能力の説得力が増す。</t>
        </is>
      </c>
    </row>
  </sheetData>
  <mergeCells count="8">
    <mergeCell ref="A44:J44"/>
    <mergeCell ref="A1:J1"/>
    <mergeCell ref="A45:J45"/>
    <mergeCell ref="A14:J14"/>
    <mergeCell ref="A35:J35"/>
    <mergeCell ref="A4:J4"/>
    <mergeCell ref="A24:J2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18" customWidth="1" min="4" max="4"/>
    <col width="20" customWidth="1" min="5" max="5"/>
    <col width="35" customWidth="1" min="6" max="6"/>
  </cols>
  <sheetData>
    <row r="1" ht="26" customHeight="1">
      <c r="A1" s="45" t="inlineStr">
        <is>
          <t>UNLID SME市場単価調査——中小企業が払える金額・サービス別分析</t>
        </is>
      </c>
    </row>
    <row r="2">
      <c r="A2" s="46" t="inlineStr">
        <is>
          <t>調査時点：2024〜2026年  ／  対象：従業員30〜300名の日本国内中小企業（SME）  ／  単位：万円（月額）</t>
        </is>
      </c>
    </row>
    <row r="4">
      <c r="A4" s="47" t="inlineStr">
        <is>
          <t>① 業務アウトソーシング・支援サービス 市場相場（SME向け）</t>
        </is>
      </c>
    </row>
    <row r="5">
      <c r="A5" s="48" t="inlineStr">
        <is>
          <t>業務カテゴリ</t>
        </is>
      </c>
      <c r="B5" s="48" t="inlineStr">
        <is>
          <t>相場下限（万円/月）</t>
        </is>
      </c>
      <c r="C5" s="48" t="inlineStr">
        <is>
          <t>相場上限（万円/月）</t>
        </is>
      </c>
      <c r="D5" s="48" t="inlineStr">
        <is>
          <t>最多価格帯</t>
        </is>
      </c>
      <c r="E5" s="48" t="inlineStr">
        <is>
          <t>UNLIDとの関係</t>
        </is>
      </c>
      <c r="F5" s="48" t="inlineStr">
        <is>
          <t>主要データ出典</t>
        </is>
      </c>
    </row>
    <row r="6">
      <c r="A6" s="5" t="inlineStr">
        <is>
          <t>経理・バックオフィスBPO</t>
        </is>
      </c>
      <c r="B6" s="6" t="n">
        <v>3</v>
      </c>
      <c r="C6" s="6" t="n">
        <v>15</v>
      </c>
      <c r="D6" s="49" t="inlineStr">
        <is>
          <t>月5〜10万</t>
        </is>
      </c>
      <c r="E6" s="5" t="inlineStr">
        <is>
          <t>UNLID若手が補完する領域</t>
        </is>
      </c>
      <c r="F6" s="50" t="inlineStr">
        <is>
          <t>キャスター社公開料金(2025)・フジ子さん公式サイト(2025)</t>
        </is>
      </c>
    </row>
    <row r="7">
      <c r="A7" s="5" t="inlineStr">
        <is>
          <t>採用支援・HRコンサル</t>
        </is>
      </c>
      <c r="B7" s="6" t="n">
        <v>10</v>
      </c>
      <c r="C7" s="6" t="n">
        <v>25</v>
      </c>
      <c r="D7" s="49" t="inlineStr">
        <is>
          <t>月15〜20万</t>
        </is>
      </c>
      <c r="E7" s="5" t="inlineStr">
        <is>
          <t>UNLIDの競合＆補完領域</t>
        </is>
      </c>
      <c r="F7" s="50" t="inlineStr">
        <is>
          <t>帝国データバンク「HR関連支出調査」2024年</t>
        </is>
      </c>
    </row>
    <row r="8">
      <c r="A8" s="5" t="inlineStr">
        <is>
          <t>IT・DX推進支援（週1顧問）</t>
        </is>
      </c>
      <c r="B8" s="6" t="n">
        <v>10</v>
      </c>
      <c r="C8" s="6" t="n">
        <v>30</v>
      </c>
      <c r="D8" s="49" t="inlineStr">
        <is>
          <t>月15〜20万</t>
        </is>
      </c>
      <c r="E8" s="5" t="inlineStr">
        <is>
          <t>UNLIDの直接競合価格帯</t>
        </is>
      </c>
      <c r="F8" s="50" t="inlineStr">
        <is>
          <t>中小企業庁「IT活用支援事業」公式資料2025年</t>
        </is>
      </c>
    </row>
    <row r="9">
      <c r="A9" s="5" t="inlineStr">
        <is>
          <t>マーケティング・SNS代行</t>
        </is>
      </c>
      <c r="B9" s="6" t="n">
        <v>10</v>
      </c>
      <c r="C9" s="6" t="n">
        <v>30</v>
      </c>
      <c r="D9" s="49" t="inlineStr">
        <is>
          <t>月15〜25万</t>
        </is>
      </c>
      <c r="E9" s="5" t="inlineStr">
        <is>
          <t>UNLIDクエストの一部として提供可</t>
        </is>
      </c>
      <c r="F9" s="50" t="inlineStr">
        <is>
          <t>Web担当者Forum「外注マーケ費調査」2024年</t>
        </is>
      </c>
    </row>
    <row r="10">
      <c r="A10" s="5" t="inlineStr">
        <is>
          <t>外部CTO・技術顧問（週1〜2）</t>
        </is>
      </c>
      <c r="B10" s="6" t="n">
        <v>30</v>
      </c>
      <c r="C10" s="6" t="n">
        <v>60</v>
      </c>
      <c r="D10" s="49" t="inlineStr">
        <is>
          <t>月40〜60万</t>
        </is>
      </c>
      <c r="E10" s="5" t="inlineStr">
        <is>
          <t>UNLIDより高単価の上位市場</t>
        </is>
      </c>
      <c r="F10" s="50" t="inlineStr">
        <is>
          <t>サーキュレーション・顧問名鑑 公開料金(2025)</t>
        </is>
      </c>
    </row>
    <row r="11">
      <c r="A11" s="5" t="inlineStr">
        <is>
          <t>DXコンサル（大手系）</t>
        </is>
      </c>
      <c r="B11" s="6" t="n">
        <v>50</v>
      </c>
      <c r="C11" s="6" t="n">
        <v>200</v>
      </c>
      <c r="D11" s="49" t="inlineStr">
        <is>
          <t>月80〜120万</t>
        </is>
      </c>
      <c r="E11" s="5" t="inlineStr">
        <is>
          <t>UNLIDより5〜10倍高い。SMEは手が出ない</t>
        </is>
      </c>
      <c r="F11" s="50" t="inlineStr">
        <is>
          <t>野村総研・アクセンチュア等提案書事例</t>
        </is>
      </c>
    </row>
    <row r="12">
      <c r="A12" s="5" t="inlineStr">
        <is>
          <t>AI導入支援（スポット）</t>
        </is>
      </c>
      <c r="B12" s="6" t="n">
        <v>30</v>
      </c>
      <c r="C12" s="6" t="n">
        <v>150</v>
      </c>
      <c r="D12" s="49" t="inlineStr">
        <is>
          <t>プロジェクト型</t>
        </is>
      </c>
      <c r="E12" s="5" t="inlineStr">
        <is>
          <t>UNLIDのプロジェクト型収益（3ヶ月80〜200万）</t>
        </is>
      </c>
      <c r="F12" s="50" t="inlineStr">
        <is>
          <t>矢野経済研究所「AI導入コスト調査」2024年</t>
        </is>
      </c>
    </row>
    <row r="13">
      <c r="A13" s="51" t="inlineStr">
        <is>
          <t>★ UNLID フラクショナルFDE</t>
        </is>
      </c>
      <c r="B13" s="52" t="n">
        <v>20</v>
      </c>
      <c r="C13" s="52" t="n">
        <v>30</v>
      </c>
      <c r="D13" s="53" t="inlineStr">
        <is>
          <t>月20〜30万</t>
        </is>
      </c>
      <c r="E13" s="54" t="inlineStr">
        <is>
          <t>IT顧問より安く・ROI明確・最低単価20万円設定</t>
        </is>
      </c>
      <c r="F13" s="55" t="inlineStr">
        <is>
          <t>本資料 競合分析＆SME支払意欲調査</t>
        </is>
      </c>
    </row>
    <row r="15">
      <c r="A15" s="47" t="inlineStr">
        <is>
          <t>② SMEが月20〜30万円を払うことへのROI根拠（業務別）</t>
        </is>
      </c>
    </row>
    <row r="16">
      <c r="A16" s="48" t="inlineStr">
        <is>
          <t>SMEの業務課題（痛み）</t>
        </is>
      </c>
      <c r="B16" s="48" t="inlineStr">
        <is>
          <t>UNLID対応クエスト</t>
        </is>
      </c>
      <c r="C16" s="48" t="inlineStr">
        <is>
          <t>月額費用</t>
        </is>
      </c>
      <c r="D16" s="48" t="inlineStr">
        <is>
          <t>期待ROI（月）</t>
        </is>
      </c>
      <c r="E16" s="48" t="inlineStr">
        <is>
          <t>ROI根拠</t>
        </is>
      </c>
      <c r="F16" s="48" t="inlineStr">
        <is>
          <t>データ出典</t>
        </is>
      </c>
    </row>
    <row r="17">
      <c r="A17" s="5" t="inlineStr">
        <is>
          <t>議事録・報告書・メール返信が多すぎて残業が止まらない</t>
        </is>
      </c>
      <c r="B17" s="5" t="inlineStr">
        <is>
          <t>AI出力仕上げ・資料整理代行（ワーカー）</t>
        </is>
      </c>
      <c r="C17" s="49" t="inlineStr">
        <is>
          <t>月5〜15万</t>
        </is>
      </c>
      <c r="D17" s="51" t="inlineStr">
        <is>
          <t>月6〜10万の工数削減（30〜50h×時給2,000円）</t>
        </is>
      </c>
      <c r="E17" s="5" t="inlineStr">
        <is>
          <t>残業削減＋担当者の高付加価値業務へのシフト</t>
        </is>
      </c>
      <c r="F17" s="50" t="inlineStr">
        <is>
          <t>リクルートワークス「業務効率化調査」2024・パーソル総研「働き方調査」2025</t>
        </is>
      </c>
    </row>
    <row r="18">
      <c r="A18" s="5" t="inlineStr">
        <is>
          <t>採用が決まらない・採用媒体費が高い</t>
        </is>
      </c>
      <c r="B18" s="5" t="inlineStr">
        <is>
          <t>採用ブランディング記事・求人票AI強化（ワーカー担当）</t>
        </is>
      </c>
      <c r="C18" s="49" t="inlineStr">
        <is>
          <t>月10〜20万</t>
        </is>
      </c>
      <c r="D18" s="51" t="inlineStr">
        <is>
          <t>採用媒体費50〜200万/年の削減効果</t>
        </is>
      </c>
      <c r="E18" s="5" t="inlineStr">
        <is>
          <t>採用ミスマッチ損失（年収×3倍相当）の回避</t>
        </is>
      </c>
      <c r="F18" s="50" t="inlineStr">
        <is>
          <t>エン・ジャパン「中小企業採用コスト調査」2025年。採用1人あたり平均43万円</t>
        </is>
      </c>
    </row>
    <row r="19">
      <c r="A19" s="5" t="inlineStr">
        <is>
          <t>AIを使えと言われるが何から始めていいかわからない</t>
        </is>
      </c>
      <c r="B19" s="5" t="inlineStr">
        <is>
          <t>FDEが業務整理→AI1つ選定→3ヶ月で成果事例化</t>
        </is>
      </c>
      <c r="C19" s="49" t="inlineStr">
        <is>
          <t>月20〜30万</t>
        </is>
      </c>
      <c r="D19" s="51" t="inlineStr">
        <is>
          <t>DXコンサル（月50〜200万）の1/5〜1/10のコストで同等効果</t>
        </is>
      </c>
      <c r="E19" s="5" t="inlineStr">
        <is>
          <t>IT投資対効果：中小企業白書2024（生産性20〜35%向上事例多数）</t>
        </is>
      </c>
      <c r="F19" s="50" t="inlineStr">
        <is>
          <t>中小企業庁「2024年版中小企業白書」DX推進成功事例</t>
        </is>
      </c>
    </row>
    <row r="20">
      <c r="A20" s="5" t="inlineStr">
        <is>
          <t>問い合わせ対応に時間がかかりすぎる</t>
        </is>
      </c>
      <c r="B20" s="5" t="inlineStr">
        <is>
          <t>FAQ整理・チャットボット設定補助・対応マニュアルAI化</t>
        </is>
      </c>
      <c r="C20" s="49" t="inlineStr">
        <is>
          <t>月8〜15万</t>
        </is>
      </c>
      <c r="D20" s="51" t="inlineStr">
        <is>
          <t>対応工数30〜50%削減。担当者の本業集中</t>
        </is>
      </c>
      <c r="E20" s="5" t="inlineStr">
        <is>
          <t>1件あたり対応コスト2,500円×月200件×30%削減=月15万円相当</t>
        </is>
      </c>
      <c r="F20" s="50" t="inlineStr">
        <is>
          <t>矢野経済研究所「チャットボット市場」2024年。中小向け導入相場5〜30万/月</t>
        </is>
      </c>
    </row>
    <row r="21">
      <c r="A21" s="5" t="inlineStr">
        <is>
          <t>新入社員が育たない・先輩が育成に時間を割けない</t>
        </is>
      </c>
      <c r="B21" s="5" t="inlineStr">
        <is>
          <t>新入社員ロープレ相手＋FBログ（ワーカーが対応）</t>
        </is>
      </c>
      <c r="C21" s="49" t="inlineStr">
        <is>
          <t>月5〜15万</t>
        </is>
      </c>
      <c r="D21" s="51" t="inlineStr">
        <is>
          <t>離職防止効果。離職コスト（年収×1.5〜3倍）の回避</t>
        </is>
      </c>
      <c r="E21" s="5" t="inlineStr">
        <is>
          <t>OJT崩壊データ：計画的OJT実施率40.9%→30.3%に低下（2025年）</t>
        </is>
      </c>
      <c r="F21" s="50" t="inlineStr">
        <is>
          <t>パーソル総合研究所「OJTに関する定量調査」2025年1月</t>
        </is>
      </c>
    </row>
    <row r="23">
      <c r="A23" s="47" t="inlineStr">
        <is>
          <t>③ 価格帯別 SME継続率・解約率仮説（業界ベンチマーク比較）</t>
        </is>
      </c>
    </row>
    <row r="24">
      <c r="A24" s="48" t="inlineStr">
        <is>
          <t>月額価格帯</t>
        </is>
      </c>
      <c r="B24" s="48" t="inlineStr">
        <is>
          <t>想定継続月数</t>
        </is>
      </c>
      <c r="C24" s="48" t="inlineStr">
        <is>
          <t>3ヶ月継続率</t>
        </is>
      </c>
      <c r="D24" s="48" t="inlineStr">
        <is>
          <t>12ヶ月継続率</t>
        </is>
      </c>
      <c r="E24" s="48" t="inlineStr">
        <is>
          <t>解約リスク要因</t>
        </is>
      </c>
      <c r="F24" s="48" t="inlineStr">
        <is>
          <t>参考：類似SaaSベンチマーク</t>
        </is>
      </c>
    </row>
    <row r="25">
      <c r="A25" s="5" t="inlineStr">
        <is>
          <t>月5〜10万（格安BPO）</t>
        </is>
      </c>
      <c r="B25" s="49" t="inlineStr">
        <is>
          <t>平均3〜6ヶ月</t>
        </is>
      </c>
      <c r="C25" s="49" t="inlineStr">
        <is>
          <t>65〜75%</t>
        </is>
      </c>
      <c r="D25" s="49" t="inlineStr">
        <is>
          <t>40〜55%</t>
        </is>
      </c>
      <c r="E25" s="5" t="inlineStr">
        <is>
          <t>ROIが見えにくい・担当者変更</t>
        </is>
      </c>
      <c r="F25" s="50" t="inlineStr">
        <is>
          <t>Lancers等クラウドBPO実績</t>
        </is>
      </c>
    </row>
    <row r="26">
      <c r="A26" s="5" t="inlineStr">
        <is>
          <t>月10〜20万（中間価格帯）</t>
        </is>
      </c>
      <c r="B26" s="49" t="inlineStr">
        <is>
          <t>平均6〜12ヶ月</t>
        </is>
      </c>
      <c r="C26" s="49" t="inlineStr">
        <is>
          <t>70〜80%</t>
        </is>
      </c>
      <c r="D26" s="49" t="inlineStr">
        <is>
          <t>50〜65%</t>
        </is>
      </c>
      <c r="E26" s="5" t="inlineStr">
        <is>
          <t>効果の可視化が鍵</t>
        </is>
      </c>
      <c r="F26" s="50" t="inlineStr">
        <is>
          <t>HRコンサル・IT顧問業界ベンチマーク</t>
        </is>
      </c>
    </row>
    <row r="27">
      <c r="A27" s="51" t="inlineStr">
        <is>
          <t>月20〜30万（★UNLID価格帯）</t>
        </is>
      </c>
      <c r="B27" s="56" t="inlineStr">
        <is>
          <t>平均12〜18ヶ月</t>
        </is>
      </c>
      <c r="C27" s="53" t="inlineStr">
        <is>
          <t>80〜88%</t>
        </is>
      </c>
      <c r="D27" s="53" t="inlineStr">
        <is>
          <t>65〜75%</t>
        </is>
      </c>
      <c r="E27" s="54" t="inlineStr">
        <is>
          <t>ROI可視化と完遂ログが継続を後押し</t>
        </is>
      </c>
      <c r="F27" s="55" t="inlineStr">
        <is>
          <t>UNLIDベースライン仮説（3ヶ月でKPI達成設計）</t>
        </is>
      </c>
    </row>
    <row r="28">
      <c r="A28" s="5" t="inlineStr">
        <is>
          <t>月30〜60万（外部CTO相場）</t>
        </is>
      </c>
      <c r="B28" s="49" t="inlineStr">
        <is>
          <t>平均12〜24ヶ月</t>
        </is>
      </c>
      <c r="C28" s="49" t="inlineStr">
        <is>
          <t>80〜90%</t>
        </is>
      </c>
      <c r="D28" s="49" t="inlineStr">
        <is>
          <t>65〜75%</t>
        </is>
      </c>
      <c r="E28" s="5" t="inlineStr">
        <is>
          <t>担当者変更・予算削減</t>
        </is>
      </c>
      <c r="F28" s="50" t="inlineStr">
        <is>
          <t>サーキュレーション顧客定着率実績（参考）</t>
        </is>
      </c>
    </row>
    <row r="29">
      <c r="A29" s="57" t="inlineStr">
        <is>
          <t>【データ出典・注記】本シートのデータは公開資料・業界調査に基づく推計値（2024〜2026年）。詳細：中小企業庁「2024年版中小企業白書」/ 帝国データバンク各種産業調査 / パーソル総合研究所「OJT調査2025」/ リクルートワークス研究所 / 矢野経済研究所 / 各社公開料金表（キャスター・フジ子さん・サーキュレーション・顧問名鑑）</t>
        </is>
      </c>
    </row>
  </sheetData>
  <mergeCells count="9">
    <mergeCell ref="A2:F2"/>
    <mergeCell ref="A23:D23"/>
    <mergeCell ref="A4:D4"/>
    <mergeCell ref="A1:F1"/>
    <mergeCell ref="A23:F23"/>
    <mergeCell ref="A15:F15"/>
    <mergeCell ref="A15:D15"/>
    <mergeCell ref="A4:F4"/>
    <mergeCell ref="A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2026-03-24T00:20:31Z</dcterms:created>
  <dcterms:modified xsi:type="dcterms:W3CDTF">2026-04-12T17:23:12Z</dcterms:modified>
</cp:coreProperties>
</file>