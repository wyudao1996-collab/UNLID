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v4.7  ─  単位：万円  |  中央値シナリオ</t>
        </is>
      </c>
    </row>
    <row r="2">
      <c r="A2" s="2" t="inlineStr">
        <is>
          <t>v4.7変更：①元金返済Row30追加（据置12ヶ月・月33万×60回）、Row26更新／②法人税タイミング参照行(Row31)追加 ／③DSCR指標セクション追加（前提条件⑩）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'PL（損益計算書）'!B9</f>
        <v/>
      </c>
      <c r="C15" s="10">
        <f>'PL（損益計算書）'!C9</f>
        <v/>
      </c>
      <c r="D15" s="10">
        <f>'PL（損益計算書）'!D9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  <c r="E63" t="inlineStr">
        <is>
          <t>✓ v4.6確認済: 2.0%は昨今の金利上昇局面でも現実的な保守設定。（日本政策金融公庫・信用金庫の創業融資相場: 1.5〜3.0%）本モデルはストレステスト水準（2.0%）を充足。面談時「金利上昇リスク織り込み済み」と回答可能。</t>
        </is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  <row r="97"/>
    <row r="98">
      <c r="A98" t="inlineStr">
        <is>
          <t>⑩ DSCR（借入金償還倍率）─ 銀行が最重視する安全性指標</t>
        </is>
      </c>
    </row>
    <row r="99">
      <c r="A99" t="inlineStr">
        <is>
          <t xml:space="preserve">　計算式: (営業利益 + 減価償却費) ÷ (年間元金返済 + 年間支払利息)  目安: 1.2倍以上 → 健全 ／ 1.5倍以上 → 優良</t>
        </is>
      </c>
    </row>
    <row r="100">
      <c r="A100" t="inlineStr">
        <is>
          <t>項目</t>
        </is>
      </c>
      <c r="B100" t="inlineStr">
        <is>
          <t>Year1</t>
        </is>
      </c>
      <c r="C100" t="inlineStr">
        <is>
          <t>Year2</t>
        </is>
      </c>
      <c r="D100" t="inlineStr">
        <is>
          <t>Year3</t>
        </is>
      </c>
    </row>
    <row r="101">
      <c r="A101" t="inlineStr">
        <is>
          <t>営業利益（万円）</t>
        </is>
      </c>
      <c r="B101">
        <f>B40</f>
        <v/>
      </c>
      <c r="C101">
        <f>C40</f>
        <v/>
      </c>
      <c r="D101">
        <f>D40</f>
        <v/>
      </c>
    </row>
    <row r="102">
      <c r="A102" t="inlineStr">
        <is>
          <t>減価償却費（万円）</t>
        </is>
      </c>
      <c r="B102">
        <f>B54</f>
        <v/>
      </c>
      <c r="C102">
        <f>C54</f>
        <v/>
      </c>
      <c r="D102">
        <f>D54</f>
        <v/>
      </c>
    </row>
    <row r="103">
      <c r="A103" t="inlineStr">
        <is>
          <t>EBITDA（万円）</t>
        </is>
      </c>
      <c r="B103">
        <f>B101+B102</f>
        <v/>
      </c>
      <c r="C103">
        <f>C101+C102</f>
        <v/>
      </c>
      <c r="D103">
        <f>D101+D102</f>
        <v/>
      </c>
    </row>
    <row r="104">
      <c r="A104" t="inlineStr">
        <is>
          <t>年間元金返済（万円）</t>
        </is>
      </c>
      <c r="B104" t="n">
        <v>0</v>
      </c>
      <c r="C104">
        <f>ROUND(B62/60,0)*12</f>
        <v/>
      </c>
      <c r="D104">
        <f>ROUND(B62/60,0)*12</f>
        <v/>
      </c>
    </row>
    <row r="105">
      <c r="A105" t="inlineStr">
        <is>
          <t>年間支払利息（万円）</t>
        </is>
      </c>
      <c r="B105">
        <f>B64</f>
        <v/>
      </c>
      <c r="C105">
        <f>C64</f>
        <v/>
      </c>
      <c r="D105">
        <f>D64</f>
        <v/>
      </c>
    </row>
    <row r="106">
      <c r="A106" t="inlineStr">
        <is>
          <t>返済合計（万円）</t>
        </is>
      </c>
      <c r="B106">
        <f>B104+B105</f>
        <v/>
      </c>
      <c r="C106">
        <f>C104+C105</f>
        <v/>
      </c>
      <c r="D106">
        <f>D104+D105</f>
        <v/>
      </c>
    </row>
    <row r="107">
      <c r="A107" t="inlineStr">
        <is>
          <t>★ DSCR</t>
        </is>
      </c>
      <c r="B107">
        <f>IF(B103&gt;0,ROUND(B103/B106,2),"N/A")</f>
        <v/>
      </c>
      <c r="C107">
        <f>IF(C103&gt;0,ROUND(C103/C106,2),"N/A")</f>
        <v/>
      </c>
      <c r="D107">
        <f>IF(D103&gt;0,ROUND(D103/D106,2),"N/A")</f>
        <v/>
      </c>
    </row>
    <row r="108">
      <c r="A108" t="inlineStr">
        <is>
          <t>判定</t>
        </is>
      </c>
      <c r="B108" t="inlineStr">
        <is>
          <t>─ Y1は赤字期（返済据置）</t>
        </is>
      </c>
      <c r="C108">
        <f>IF(ISNUMBER(C107),IF(C107&gt;=1.5,"◎優良(1.5x+)",IF(C107&gt;=1.2,"✓健全(1.2x+)","△要改善")),"─ 成長期赤字")</f>
        <v/>
      </c>
      <c r="D108">
        <f>IF(ISNUMBER(D107),IF(D107&gt;=1.5,"◎優良(1.5x+)",IF(D107&gt;=1.2,"✓健全(1.2x+)","△要改善")),"─ 成長期赤字")</f>
        <v/>
      </c>
    </row>
    <row r="110">
      <c r="A110" t="inlineStr">
        <is>
          <t>【重要注記】本モデルは人員費にperiod-end headcount×12を使用（超保守的設定）。</t>
        </is>
      </c>
    </row>
    <row r="111">
      <c r="A111" t="inlineStr">
        <is>
          <t>period-average headcountのベースシナリオではY3 EBITDA ≈ +3,500万円、DSCR ≈ 8.0倍（◎優良）となる見込み。</t>
        </is>
      </c>
    </row>
    <row r="112">
      <c r="A112" t="inlineStr">
        <is>
          <t>銀行借入2,000万円はY2シード調達（3,000万円）後に余剰資金で早期返済も可能。LTV/CAC = 380万/12万 = 31.7倍。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人員計画（採用計画）v4.7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  <row r="47">
      <c r="A47" t="inlineStr">
        <is>
          <t>★ 法定福利費・コスト即時計上の確認（v4.6追記）</t>
        </is>
      </c>
    </row>
    <row r="48">
      <c r="A48" t="inlineStr">
        <is>
          <t>【法定福利費(15%)】月額給与×1.15が入社月から計上済み（例: CEO 30万×1.15×12=414万円）。各役職の人件費 = 月額給与 × (1+法定福利費率0.15) × 在籍月数。【コスト先行・売上後続】採用コスト・給与・社会保険は入社月に即時発生。FDE稼働は入社3ヶ月目から（売上貢献タイムラグ=2ヶ月分コスト先行）。この構造は「月次CFシートの期中平均設計」に内包され、保守的な計画となっ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損益計算書（P/L）v4.7  ─  単位：万円  |  前提条件シート連動</t>
        </is>
      </c>
    </row>
    <row r="2">
      <c r="A2" s="2" t="inlineStr">
        <is>
          <t>★ v4.6: 売上合計(Row9)をPL独立SUM（B6+B7+B8）に変更。前提条件B15がPL!B9を参照する構造に変更済み（循環参照なし・整合性証明）。人件費・採用費は人員計画シートから自動参照。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貸借対照表（B/S）v4.7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v4.7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B20+B21+B22-B23-B24+B25-B30</f>
        <v/>
      </c>
      <c r="C26" s="10">
        <f>C20+C21+C22-C23-C24+C25-C30</f>
        <v/>
      </c>
      <c r="D26" s="10">
        <f>D20+D21+D22-D23-D24+D25-D30</f>
        <v/>
      </c>
      <c r="E26" s="10">
        <f>E20+E21+E22-E23-E24+E25-E30</f>
        <v/>
      </c>
      <c r="F26" s="10">
        <f>F20+F21+F22-F23-F24+F25-F30</f>
        <v/>
      </c>
      <c r="G26" s="10">
        <f>G20+G21+G22-G23-G24+G25-G30</f>
        <v/>
      </c>
      <c r="H26" s="10">
        <f>H20+H21+H22-H23-H24+H25-H30</f>
        <v/>
      </c>
      <c r="I26" s="10">
        <f>I20+I21+I22-I23-I24+I25-I30</f>
        <v/>
      </c>
      <c r="J26" s="10">
        <f>J20+J21+J22-J23-J24+J25-J30</f>
        <v/>
      </c>
      <c r="K26" s="10">
        <f>K20+K21+K22-K23-K24+K25-K30</f>
        <v/>
      </c>
      <c r="L26" s="10">
        <f>L20+L21+L22-L23-L24+L25-L30</f>
        <v/>
      </c>
      <c r="M26" s="10">
        <f>M20+M21+M22-M23-M24+M25-M30</f>
        <v/>
      </c>
      <c r="N26" s="10">
        <f>N20+N21+N22-N23-N24+N25-N30</f>
        <v/>
      </c>
      <c r="O26" s="10">
        <f>O20+O21+O22-O23-O24+O25-O30</f>
        <v/>
      </c>
      <c r="P26" s="10">
        <f>P20+P21+P22-P23-P24+P25-P30</f>
        <v/>
      </c>
      <c r="Q26" s="10">
        <f>Q20+Q21+Q22-Q23-Q24+Q25-Q30</f>
        <v/>
      </c>
      <c r="R26" s="10">
        <f>R20+R21+R22-R23-R24+R25-R30</f>
        <v/>
      </c>
      <c r="S26" s="10">
        <f>S20+S21+S22-S23-S24+S25-S30</f>
        <v/>
      </c>
      <c r="T26" s="10">
        <f>T20+T21+T22-T23-T24+T25-T30</f>
        <v/>
      </c>
      <c r="U26" s="10">
        <f>U20+U21+U22-U23-U24+U25-U30</f>
        <v/>
      </c>
      <c r="V26" s="10">
        <f>V20+V21+V22-V23-V24+V25-V30</f>
        <v/>
      </c>
      <c r="W26" s="10">
        <f>W20+W21+W22-W23-W24+W25-W30</f>
        <v/>
      </c>
      <c r="X26" s="10">
        <f>X20+X21+X22-X23-X24+X25-X30</f>
        <v/>
      </c>
      <c r="Y26" s="10">
        <f>Y20+Y21+Y22-Y23-Y24+Y25-Y30</f>
        <v/>
      </c>
      <c r="Z26" s="10">
        <f>Z20+Z21+Z22-Z23-Z24+Z25-Z30</f>
        <v/>
      </c>
      <c r="AA26" s="10">
        <f>AA20+AA21+AA22-AA23-AA24+AA25-AA30</f>
        <v/>
      </c>
      <c r="AB26" s="10">
        <f>AB20+AB21+AB22-AB23-AB24+AB25-AB30</f>
        <v/>
      </c>
      <c r="AC26" s="10">
        <f>AC20+AC21+AC22-AC23-AC24+AC25-AC30</f>
        <v/>
      </c>
      <c r="AD26" s="10">
        <f>AD20+AD21+AD22-AD23-AD24+AD25-AD30</f>
        <v/>
      </c>
      <c r="AE26" s="10">
        <f>AE20+AE21+AE22-AE23-AE24+AE25-AE30</f>
        <v/>
      </c>
      <c r="AF26" s="10">
        <f>AF20+AF21+AF22-AF23-AF24+AF25-AF30</f>
        <v/>
      </c>
      <c r="AG26" s="10">
        <f>AG20+AG21+AG22-AG23-AG24+AG25-AG30</f>
        <v/>
      </c>
      <c r="AH26" s="10">
        <f>AH20+AH21+AH22-AH23-AH24+AH25-AH30</f>
        <v/>
      </c>
      <c r="AI26" s="10">
        <f>AI20+AI21+AI22-AI23-AI24+AI25-AI30</f>
        <v/>
      </c>
      <c r="AJ26" s="10">
        <f>AJ20+AJ21+AJ22-AJ23-AJ24+AJ25-AJ30</f>
        <v/>
      </c>
      <c r="AK26" s="10">
        <f>AK20+AK21+AK22-AK23-AK24+AK25-AK30</f>
        <v/>
      </c>
    </row>
    <row r="27">
      <c r="A27" s="58" t="inlineStr">
        <is>
          <t>★ 最低現預金残高（M1〜M36 MIN・元金返済後）  ─ ショート確認</t>
        </is>
      </c>
      <c r="B27" s="58">
        <f>MIN(B26:AK26)</f>
        <v/>
      </c>
      <c r="C27" s="58" t="inlineStr">
        <is>
          <t>← Row26に元金返済を含む。Row31(税)は別途確認。</t>
        </is>
      </c>
    </row>
    <row r="28">
      <c r="A28" t="inlineStr">
        <is>
          <t>月次安全ライン（月商×2ヶ月・各年度連動・動的）</t>
        </is>
      </c>
      <c r="B28">
        <f>ROUND(前提条件!B15/6,0)</f>
        <v/>
      </c>
      <c r="C28">
        <f>ROUND(前提条件!B15/6,0)</f>
        <v/>
      </c>
      <c r="D28">
        <f>ROUND(前提条件!B15/6,0)</f>
        <v/>
      </c>
      <c r="E28">
        <f>ROUND(前提条件!B15/6,0)</f>
        <v/>
      </c>
      <c r="F28">
        <f>ROUND(前提条件!B15/6,0)</f>
        <v/>
      </c>
      <c r="G28">
        <f>ROUND(前提条件!B15/6,0)</f>
        <v/>
      </c>
      <c r="H28">
        <f>ROUND(前提条件!B15/6,0)</f>
        <v/>
      </c>
      <c r="I28">
        <f>ROUND(前提条件!B15/6,0)</f>
        <v/>
      </c>
      <c r="J28">
        <f>ROUND(前提条件!B15/6,0)</f>
        <v/>
      </c>
      <c r="K28">
        <f>ROUND(前提条件!B15/6,0)</f>
        <v/>
      </c>
      <c r="L28">
        <f>ROUND(前提条件!B15/6,0)</f>
        <v/>
      </c>
      <c r="M28">
        <f>ROUND(前提条件!B15/6,0)</f>
        <v/>
      </c>
      <c r="N28">
        <f>ROUND(前提条件!C15/6,0)</f>
        <v/>
      </c>
      <c r="O28">
        <f>ROUND(前提条件!C15/6,0)</f>
        <v/>
      </c>
      <c r="P28">
        <f>ROUND(前提条件!C15/6,0)</f>
        <v/>
      </c>
      <c r="Q28">
        <f>ROUND(前提条件!C15/6,0)</f>
        <v/>
      </c>
      <c r="R28">
        <f>ROUND(前提条件!C15/6,0)</f>
        <v/>
      </c>
      <c r="S28">
        <f>ROUND(前提条件!C15/6,0)</f>
        <v/>
      </c>
      <c r="T28">
        <f>ROUND(前提条件!C15/6,0)</f>
        <v/>
      </c>
      <c r="U28">
        <f>ROUND(前提条件!C15/6,0)</f>
        <v/>
      </c>
      <c r="V28">
        <f>ROUND(前提条件!C15/6,0)</f>
        <v/>
      </c>
      <c r="W28">
        <f>ROUND(前提条件!C15/6,0)</f>
        <v/>
      </c>
      <c r="X28">
        <f>ROUND(前提条件!C15/6,0)</f>
        <v/>
      </c>
      <c r="Y28">
        <f>ROUND(前提条件!C15/6,0)</f>
        <v/>
      </c>
      <c r="Z28">
        <f>ROUND(前提条件!D15/6,0)</f>
        <v/>
      </c>
      <c r="AA28">
        <f>ROUND(前提条件!D15/6,0)</f>
        <v/>
      </c>
      <c r="AB28">
        <f>ROUND(前提条件!D15/6,0)</f>
        <v/>
      </c>
      <c r="AC28">
        <f>ROUND(前提条件!D15/6,0)</f>
        <v/>
      </c>
      <c r="AD28">
        <f>ROUND(前提条件!D15/6,0)</f>
        <v/>
      </c>
      <c r="AE28">
        <f>ROUND(前提条件!D15/6,0)</f>
        <v/>
      </c>
      <c r="AF28">
        <f>ROUND(前提条件!D15/6,0)</f>
        <v/>
      </c>
      <c r="AG28">
        <f>ROUND(前提条件!D15/6,0)</f>
        <v/>
      </c>
      <c r="AH28">
        <f>ROUND(前提条件!D15/6,0)</f>
        <v/>
      </c>
      <c r="AI28">
        <f>ROUND(前提条件!D15/6,0)</f>
        <v/>
      </c>
      <c r="AJ28">
        <f>ROUND(前提条件!D15/6,0)</f>
        <v/>
      </c>
      <c r="AK28">
        <f>ROUND(前提条件!D15/6,0)</f>
        <v/>
      </c>
    </row>
    <row r="29">
      <c r="A29" t="inlineStr">
        <is>
          <t>月次Cash判定（✓安全 / △要確認 ─ 全月✓が融資額妥当の証明）</t>
        </is>
      </c>
      <c r="B29">
        <f>IF(B26&gt;=B28,"✓","△")</f>
        <v/>
      </c>
      <c r="C29">
        <f>IF(C26&gt;=C28,"✓","△")</f>
        <v/>
      </c>
      <c r="D29">
        <f>IF(D26&gt;=D28,"✓","△")</f>
        <v/>
      </c>
      <c r="E29">
        <f>IF(E26&gt;=E28,"✓","△")</f>
        <v/>
      </c>
      <c r="F29">
        <f>IF(F26&gt;=F28,"✓","△")</f>
        <v/>
      </c>
      <c r="G29">
        <f>IF(G26&gt;=G28,"✓","△")</f>
        <v/>
      </c>
      <c r="H29">
        <f>IF(H26&gt;=H28,"✓","△")</f>
        <v/>
      </c>
      <c r="I29">
        <f>IF(I26&gt;=I28,"✓","△")</f>
        <v/>
      </c>
      <c r="J29">
        <f>IF(J26&gt;=J28,"✓","△")</f>
        <v/>
      </c>
      <c r="K29">
        <f>IF(K26&gt;=K28,"✓","△")</f>
        <v/>
      </c>
      <c r="L29">
        <f>IF(L26&gt;=L28,"✓","△")</f>
        <v/>
      </c>
      <c r="M29">
        <f>IF(M26&gt;=M28,"✓","△")</f>
        <v/>
      </c>
      <c r="N29">
        <f>IF(N26&gt;=N28,"✓","△")</f>
        <v/>
      </c>
      <c r="O29">
        <f>IF(O26&gt;=O28,"✓","△")</f>
        <v/>
      </c>
      <c r="P29">
        <f>IF(P26&gt;=P28,"✓","△")</f>
        <v/>
      </c>
      <c r="Q29">
        <f>IF(Q26&gt;=Q28,"✓","△")</f>
        <v/>
      </c>
      <c r="R29">
        <f>IF(R26&gt;=R28,"✓","△")</f>
        <v/>
      </c>
      <c r="S29">
        <f>IF(S26&gt;=S28,"✓","△")</f>
        <v/>
      </c>
      <c r="T29">
        <f>IF(T26&gt;=T28,"✓","△")</f>
        <v/>
      </c>
      <c r="U29">
        <f>IF(U26&gt;=U28,"✓","△")</f>
        <v/>
      </c>
      <c r="V29">
        <f>IF(V26&gt;=V28,"✓","△")</f>
        <v/>
      </c>
      <c r="W29">
        <f>IF(W26&gt;=W28,"✓","△")</f>
        <v/>
      </c>
      <c r="X29">
        <f>IF(X26&gt;=X28,"✓","△")</f>
        <v/>
      </c>
      <c r="Y29">
        <f>IF(Y26&gt;=Y28,"✓","△")</f>
        <v/>
      </c>
      <c r="Z29">
        <f>IF(Z26&gt;=Z28,"✓","△")</f>
        <v/>
      </c>
      <c r="AA29">
        <f>IF(AA26&gt;=AA28,"✓","△")</f>
        <v/>
      </c>
      <c r="AB29">
        <f>IF(AB26&gt;=AB28,"✓","△")</f>
        <v/>
      </c>
      <c r="AC29">
        <f>IF(AC26&gt;=AC28,"✓","△")</f>
        <v/>
      </c>
      <c r="AD29">
        <f>IF(AD26&gt;=AD28,"✓","△")</f>
        <v/>
      </c>
      <c r="AE29">
        <f>IF(AE26&gt;=AE28,"✓","△")</f>
        <v/>
      </c>
      <c r="AF29">
        <f>IF(AF26&gt;=AF28,"✓","△")</f>
        <v/>
      </c>
      <c r="AG29">
        <f>IF(AG26&gt;=AG28,"✓","△")</f>
        <v/>
      </c>
      <c r="AH29">
        <f>IF(AH26&gt;=AH28,"✓","△")</f>
        <v/>
      </c>
      <c r="AI29">
        <f>IF(AI26&gt;=AI28,"✓","△")</f>
        <v/>
      </c>
      <c r="AJ29">
        <f>IF(AJ26&gt;=AJ28,"✓","△")</f>
        <v/>
      </c>
      <c r="AK29">
        <f>IF(AK26&gt;=AK28,"✓","△")</f>
        <v/>
      </c>
    </row>
    <row r="30">
      <c r="A30" t="inlineStr">
        <is>
          <t>元金返済（据置M1-M12・M13〜均等60回・月33万円）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>
        <f>ROUND(前提条件!B62/60,0)</f>
        <v/>
      </c>
      <c r="O30">
        <f>ROUND(前提条件!B62/60,0)</f>
        <v/>
      </c>
      <c r="P30">
        <f>ROUND(前提条件!B62/60,0)</f>
        <v/>
      </c>
      <c r="Q30">
        <f>ROUND(前提条件!B62/60,0)</f>
        <v/>
      </c>
      <c r="R30">
        <f>ROUND(前提条件!B62/60,0)</f>
        <v/>
      </c>
      <c r="S30">
        <f>ROUND(前提条件!B62/60,0)</f>
        <v/>
      </c>
      <c r="T30">
        <f>ROUND(前提条件!B62/60,0)</f>
        <v/>
      </c>
      <c r="U30">
        <f>ROUND(前提条件!B62/60,0)</f>
        <v/>
      </c>
      <c r="V30">
        <f>ROUND(前提条件!B62/60,0)</f>
        <v/>
      </c>
      <c r="W30">
        <f>ROUND(前提条件!B62/60,0)</f>
        <v/>
      </c>
      <c r="X30">
        <f>ROUND(前提条件!B62/60,0)</f>
        <v/>
      </c>
      <c r="Y30">
        <f>ROUND(前提条件!B62/60,0)</f>
        <v/>
      </c>
      <c r="Z30">
        <f>ROUND(前提条件!B62/60,0)</f>
        <v/>
      </c>
      <c r="AA30">
        <f>ROUND(前提条件!B62/60,0)</f>
        <v/>
      </c>
      <c r="AB30">
        <f>ROUND(前提条件!B62/60,0)</f>
        <v/>
      </c>
      <c r="AC30">
        <f>ROUND(前提条件!B62/60,0)</f>
        <v/>
      </c>
      <c r="AD30">
        <f>ROUND(前提条件!B62/60,0)</f>
        <v/>
      </c>
      <c r="AE30">
        <f>ROUND(前提条件!B62/60,0)</f>
        <v/>
      </c>
      <c r="AF30">
        <f>ROUND(前提条件!B62/60,0)</f>
        <v/>
      </c>
      <c r="AG30">
        <f>ROUND(前提条件!B62/60,0)</f>
        <v/>
      </c>
      <c r="AH30">
        <f>ROUND(前提条件!B62/60,0)</f>
        <v/>
      </c>
      <c r="AI30">
        <f>ROUND(前提条件!B62/60,0)</f>
        <v/>
      </c>
      <c r="AJ30">
        <f>ROUND(前提条件!B62/60,0)</f>
        <v/>
      </c>
      <c r="AK30">
        <f>ROUND(前提条件!B62/60,0)</f>
        <v/>
      </c>
    </row>
    <row r="31">
      <c r="A31" t="inlineStr">
        <is>
          <t>参考: Y2法人税 一括支払タイミング（M26 = Y2決算2ヶ月後） ─ Row26には未反映。M26のRow26残高からこの額を追加減算して確認。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>
        <f>-前提条件!C66</f>
        <v/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v4.7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2026-03-24T08:02:48Z</dcterms:modified>
</cp:coreProperties>
</file>