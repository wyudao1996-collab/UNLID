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PL（損益計算書）" sheetId="2" state="visible" r:id="rId2"/>
    <sheet name="BS（貸借対照表）" sheetId="3" state="visible" r:id="rId3"/>
    <sheet name="CF（キャッシュフロー計算書）" sheetId="4" state="visible" r:id="rId4"/>
    <sheet name="感度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x"/>
    <numFmt numFmtId="166" formatCode="#,##0社"/>
  </numFmts>
  <fonts count="8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i val="1"/>
      <color rgb="00000000"/>
      <sz val="10"/>
    </font>
    <font>
      <name val="Meiryo UI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3" fontId="4" fillId="1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3" fontId="6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3" fontId="4" fillId="12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10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UNLID 財務モデル 前提条件</t>
        </is>
      </c>
    </row>
    <row r="2">
      <c r="A2" s="2" t="inlineStr">
        <is>
          <t>作成日：2026年3月  |  単位：万円  |  中央値シナリオ</t>
        </is>
      </c>
    </row>
    <row r="4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FDE受託平均月額（万円）</t>
        </is>
      </c>
      <c r="B7" s="6" t="n">
        <v>15</v>
      </c>
      <c r="C7" s="6" t="n">
        <v>18</v>
      </c>
      <c r="D7" s="6" t="n">
        <v>20</v>
      </c>
    </row>
    <row r="8">
      <c r="A8" s="7" t="inlineStr">
        <is>
          <t>B2B受託収益（万円）</t>
        </is>
      </c>
      <c r="B8" s="8">
        <f>B6*B7*12</f>
        <v/>
      </c>
      <c r="C8" s="8">
        <f>C6*C7*12</f>
        <v/>
      </c>
      <c r="D8" s="8">
        <f>D6*D7*12</f>
        <v/>
      </c>
    </row>
    <row r="9">
      <c r="A9" s="5" t="inlineStr">
        <is>
          <t>人材紹介件数</t>
        </is>
      </c>
      <c r="B9" s="6" t="n">
        <v>3</v>
      </c>
      <c r="C9" s="6" t="n">
        <v>20</v>
      </c>
      <c r="D9" s="6" t="n">
        <v>50</v>
      </c>
    </row>
    <row r="10">
      <c r="A10" s="5" t="inlineStr">
        <is>
          <t>紹介フィー単価（万円）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プロジェクト件数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7">
      <c r="A17" s="3" t="inlineStr">
        <is>
          <t>② コストドライバー</t>
        </is>
      </c>
    </row>
    <row r="18">
      <c r="A18" s="4" t="inlineStr">
        <is>
          <t>項目</t>
        </is>
      </c>
      <c r="B18" s="4" t="inlineStr">
        <is>
          <t>Year1</t>
        </is>
      </c>
      <c r="C18" s="4" t="inlineStr">
        <is>
          <t>Year2</t>
        </is>
      </c>
      <c r="D18" s="4" t="inlineStr">
        <is>
          <t>Year3</t>
        </is>
      </c>
    </row>
    <row r="19">
      <c r="A19" s="5" t="inlineStr">
        <is>
          <t>FDE正社員数</t>
        </is>
      </c>
      <c r="B19" s="6" t="n">
        <v>2</v>
      </c>
      <c r="C19" s="6" t="n">
        <v>10</v>
      </c>
      <c r="D19" s="6" t="n">
        <v>32</v>
      </c>
    </row>
    <row r="20">
      <c r="A20" s="5" t="inlineStr">
        <is>
          <t>FDE月額人件費（万円）</t>
        </is>
      </c>
      <c r="B20" s="6" t="n">
        <v>45</v>
      </c>
      <c r="C20" s="6" t="n">
        <v>40</v>
      </c>
      <c r="D20" s="6" t="n">
        <v>42</v>
      </c>
    </row>
    <row r="21">
      <c r="A21" s="7" t="inlineStr">
        <is>
          <t>FDE人件費合計（万円）</t>
        </is>
      </c>
      <c r="B21" s="8">
        <f>B19*B20*12</f>
        <v/>
      </c>
      <c r="C21" s="8">
        <f>C19*C20*12</f>
        <v/>
      </c>
      <c r="D21" s="8">
        <f>D19*D20*12</f>
        <v/>
      </c>
    </row>
    <row r="22">
      <c r="A22" s="5" t="inlineStr">
        <is>
          <t>創業者報酬（万円）</t>
        </is>
      </c>
      <c r="B22" s="6" t="n">
        <v>360</v>
      </c>
      <c r="C22" s="6" t="n">
        <v>600</v>
      </c>
      <c r="D22" s="6" t="n">
        <v>840</v>
      </c>
    </row>
    <row r="23">
      <c r="A23" s="5" t="inlineStr">
        <is>
          <t>管理スタッフ人件費</t>
        </is>
      </c>
      <c r="B23" s="6" t="n">
        <v>0</v>
      </c>
      <c r="C23" s="6" t="n">
        <v>1080</v>
      </c>
      <c r="D23" s="6" t="n">
        <v>3360</v>
      </c>
    </row>
    <row r="24">
      <c r="A24" s="7" t="inlineStr">
        <is>
          <t>人件費合計（万円）</t>
        </is>
      </c>
      <c r="B24" s="8">
        <f>B21+B22+B23</f>
        <v/>
      </c>
      <c r="C24" s="8">
        <f>C21+C22+C23</f>
        <v/>
      </c>
      <c r="D24" s="8">
        <f>D21+D22+D23</f>
        <v/>
      </c>
    </row>
    <row r="25">
      <c r="A25" s="5" t="inlineStr">
        <is>
          <t>ワーカー報酬率（%）</t>
        </is>
      </c>
      <c r="B25" s="11" t="n">
        <v>0.09</v>
      </c>
      <c r="C25" s="11" t="n">
        <v>0.08</v>
      </c>
      <c r="D25" s="11" t="n">
        <v>0.08</v>
      </c>
    </row>
    <row r="26">
      <c r="A26" s="5" t="inlineStr">
        <is>
          <t>ワーカー報酬（万円）</t>
        </is>
      </c>
      <c r="B26" s="6">
        <f>前提条件!B15*B25</f>
        <v/>
      </c>
      <c r="C26" s="6">
        <f>前提条件!C15*C25</f>
        <v/>
      </c>
      <c r="D26" s="6">
        <f>前提条件!D15*D25</f>
        <v/>
      </c>
    </row>
    <row r="27">
      <c r="A27" s="5" t="inlineStr">
        <is>
          <t>オフィス・インフラ費</t>
        </is>
      </c>
      <c r="B27" s="6" t="n">
        <v>180</v>
      </c>
      <c r="C27" s="6" t="n">
        <v>360</v>
      </c>
      <c r="D27" s="6" t="n">
        <v>600</v>
      </c>
    </row>
    <row r="28">
      <c r="A28" s="5" t="inlineStr">
        <is>
          <t>マーケティング費</t>
        </is>
      </c>
      <c r="B28" s="6" t="n">
        <v>120</v>
      </c>
      <c r="C28" s="6" t="n">
        <v>360</v>
      </c>
      <c r="D28" s="6" t="n">
        <v>600</v>
      </c>
    </row>
    <row r="29">
      <c r="A29" s="5" t="inlineStr">
        <is>
          <t>法務・許認可費</t>
        </is>
      </c>
      <c r="B29" s="6" t="n">
        <v>200</v>
      </c>
      <c r="C29" s="6" t="n">
        <v>300</v>
      </c>
      <c r="D29" s="6" t="n">
        <v>400</v>
      </c>
    </row>
    <row r="30">
      <c r="A30" s="5" t="inlineStr">
        <is>
          <t>採用費</t>
        </is>
      </c>
      <c r="B30" s="6" t="n">
        <v>0</v>
      </c>
      <c r="C30" s="6" t="n">
        <v>500</v>
      </c>
      <c r="D30" s="6" t="n">
        <v>1500</v>
      </c>
    </row>
    <row r="31">
      <c r="A31" s="5" t="inlineStr">
        <is>
          <t>システム開発費</t>
        </is>
      </c>
      <c r="B31" s="6" t="n">
        <v>100</v>
      </c>
      <c r="C31" s="6" t="n">
        <v>300</v>
      </c>
      <c r="D31" s="6" t="n">
        <v>800</v>
      </c>
    </row>
    <row r="32">
      <c r="A32" s="5" t="inlineStr">
        <is>
          <t>その他</t>
        </is>
      </c>
      <c r="B32" s="6" t="n">
        <v>100</v>
      </c>
      <c r="C32" s="6" t="n">
        <v>200</v>
      </c>
      <c r="D32" s="6" t="n">
        <v>400</v>
      </c>
    </row>
    <row r="33">
      <c r="A33" s="7" t="inlineStr">
        <is>
          <t>販管費合計（万円）</t>
        </is>
      </c>
      <c r="B33" s="8">
        <f>B24+B27+B28+B29+B30+B31+B32</f>
        <v/>
      </c>
      <c r="C33" s="8">
        <f>C24+C27+C28+C29+C30+C31+C32</f>
        <v/>
      </c>
      <c r="D33" s="8">
        <f>D24+D27+D28+D29+D30+D31+D32</f>
        <v/>
      </c>
    </row>
    <row r="35">
      <c r="A35" s="3" t="inlineStr">
        <is>
          <t>③ その他前提</t>
        </is>
      </c>
    </row>
    <row r="36">
      <c r="A36" s="4" t="inlineStr">
        <is>
          <t>項目</t>
        </is>
      </c>
      <c r="B36" s="4" t="inlineStr">
        <is>
          <t>Year1</t>
        </is>
      </c>
      <c r="C36" s="4" t="inlineStr">
        <is>
          <t>Year2</t>
        </is>
      </c>
      <c r="D36" s="4" t="inlineStr">
        <is>
          <t>Year3</t>
        </is>
      </c>
    </row>
    <row r="37">
      <c r="A37" s="5" t="inlineStr">
        <is>
          <t>実効税率</t>
        </is>
      </c>
      <c r="B37" s="11" t="n">
        <v>0.3</v>
      </c>
      <c r="C37" s="11" t="n">
        <v>0.3</v>
      </c>
      <c r="D37" s="11" t="n">
        <v>0.3</v>
      </c>
    </row>
    <row r="38">
      <c r="A38" s="5" t="inlineStr">
        <is>
          <t>減価償却費（万円）</t>
        </is>
      </c>
      <c r="B38" s="6" t="n">
        <v>20</v>
      </c>
      <c r="C38" s="6" t="n">
        <v>80</v>
      </c>
      <c r="D38" s="6" t="n">
        <v>200</v>
      </c>
    </row>
    <row r="39">
      <c r="A39" s="5" t="inlineStr">
        <is>
          <t>設備投資（Capex）（万円）</t>
        </is>
      </c>
      <c r="B39" s="6" t="n">
        <v>100</v>
      </c>
      <c r="C39" s="6" t="n">
        <v>300</v>
      </c>
      <c r="D39" s="6" t="n">
        <v>800</v>
      </c>
    </row>
    <row r="40">
      <c r="A40" s="5" t="inlineStr">
        <is>
          <t>初期調達資本（万円）</t>
        </is>
      </c>
      <c r="B40" s="6" t="n">
        <v>2000</v>
      </c>
      <c r="C40" s="6" t="n">
        <v>0</v>
      </c>
      <c r="D40" s="6" t="n">
        <v>0</v>
      </c>
    </row>
    <row r="41">
      <c r="A41" s="5" t="inlineStr">
        <is>
          <t>運転資本回転日数（売掛）</t>
        </is>
      </c>
      <c r="B41" s="6" t="n">
        <v>30</v>
      </c>
      <c r="C41" s="6" t="n">
        <v>30</v>
      </c>
      <c r="D41" s="6" t="n">
        <v>30</v>
      </c>
    </row>
    <row r="42">
      <c r="A42" s="5" t="inlineStr">
        <is>
          <t>買掛金回転日数</t>
        </is>
      </c>
      <c r="B42" s="6" t="n">
        <v>15</v>
      </c>
      <c r="C42" s="6" t="n">
        <v>15</v>
      </c>
      <c r="D42" s="6" t="n">
        <v>15</v>
      </c>
    </row>
  </sheetData>
  <mergeCells count="5">
    <mergeCell ref="A1:D1"/>
    <mergeCell ref="A17:D17"/>
    <mergeCell ref="A35:D35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損益計算書（P&amp;L）3ヶ年</t>
        </is>
      </c>
    </row>
    <row r="2">
      <c r="A2" s="2" t="inlineStr">
        <is>
          <t>単位：万円（税引前）  |  前提条件シートの数値と連動</t>
        </is>
      </c>
    </row>
    <row r="3">
      <c r="A3" s="12" t="inlineStr">
        <is>
          <t>項目</t>
        </is>
      </c>
      <c r="B3" s="12" t="inlineStr">
        <is>
          <t>Year1</t>
        </is>
      </c>
      <c r="C3" s="12" t="inlineStr">
        <is>
          <t>Year2</t>
        </is>
      </c>
      <c r="D3" s="12" t="inlineStr">
        <is>
          <t>Year3</t>
        </is>
      </c>
      <c r="E3" s="12" t="inlineStr">
        <is>
          <t>3年累計</t>
        </is>
      </c>
    </row>
    <row r="4">
      <c r="A4" s="13" t="inlineStr">
        <is>
          <t>【売上高】</t>
        </is>
      </c>
      <c r="B4" s="14" t="n"/>
      <c r="C4" s="14" t="n"/>
      <c r="D4" s="14" t="n"/>
      <c r="E4" s="14" t="n"/>
    </row>
    <row r="5">
      <c r="A5" s="5" t="inlineStr">
        <is>
          <t xml:space="preserve">  B2B受託収益</t>
        </is>
      </c>
      <c r="B5" s="15">
        <f>前提条件!B8</f>
        <v/>
      </c>
      <c r="C5" s="15">
        <f>前提条件!C8</f>
        <v/>
      </c>
      <c r="D5" s="15">
        <f>前提条件!D8</f>
        <v/>
      </c>
      <c r="E5" s="16">
        <f>SUM(B5:D5)</f>
        <v/>
      </c>
    </row>
    <row r="6">
      <c r="A6" s="5" t="inlineStr">
        <is>
          <t xml:space="preserve">  人材紹介フィー</t>
        </is>
      </c>
      <c r="B6" s="15">
        <f>前提条件!B11</f>
        <v/>
      </c>
      <c r="C6" s="15">
        <f>前提条件!C11</f>
        <v/>
      </c>
      <c r="D6" s="15">
        <f>前提条件!D11</f>
        <v/>
      </c>
      <c r="E6" s="16">
        <f>SUM(B6:D6)</f>
        <v/>
      </c>
    </row>
    <row r="7">
      <c r="A7" s="5" t="inlineStr">
        <is>
          <t xml:space="preserve">  プロジェクト型受託</t>
        </is>
      </c>
      <c r="B7" s="15">
        <f>前提条件!B14</f>
        <v/>
      </c>
      <c r="C7" s="15">
        <f>前提条件!C14</f>
        <v/>
      </c>
      <c r="D7" s="15">
        <f>前提条件!D14</f>
        <v/>
      </c>
      <c r="E7" s="16">
        <f>SUM(B7:D7)</f>
        <v/>
      </c>
    </row>
    <row r="8">
      <c r="A8" s="9" t="inlineStr">
        <is>
          <t>売上合計</t>
        </is>
      </c>
      <c r="B8" s="17">
        <f>SUM(B5:B7)</f>
        <v/>
      </c>
      <c r="C8" s="17">
        <f>SUM(C5:C7)</f>
        <v/>
      </c>
      <c r="D8" s="17">
        <f>SUM(D5:D7)</f>
        <v/>
      </c>
      <c r="E8" s="17">
        <f>SUM(B8:D8)</f>
        <v/>
      </c>
    </row>
    <row r="9">
      <c r="A9" s="18" t="inlineStr">
        <is>
          <t>前年比成長率</t>
        </is>
      </c>
      <c r="B9" s="19" t="inlineStr">
        <is>
          <t>—</t>
        </is>
      </c>
      <c r="C9" s="20">
        <f>(C8-B8)/B8</f>
        <v/>
      </c>
      <c r="D9" s="20">
        <f>(D8-C8)/C8</f>
        <v/>
      </c>
      <c r="E9" s="19" t="inlineStr">
        <is>
          <t>—</t>
        </is>
      </c>
    </row>
    <row r="10">
      <c r="A10" s="14" t="n"/>
      <c r="B10" s="14" t="n"/>
      <c r="C10" s="14" t="n"/>
      <c r="D10" s="14" t="n"/>
      <c r="E10" s="14" t="n"/>
    </row>
    <row r="11">
      <c r="A11" s="13" t="inlineStr">
        <is>
          <t>【売上原価（変動費）】</t>
        </is>
      </c>
      <c r="B11" s="14" t="n"/>
      <c r="C11" s="14" t="n"/>
      <c r="D11" s="14" t="n"/>
      <c r="E11" s="14" t="n"/>
    </row>
    <row r="12">
      <c r="A12" s="5" t="inlineStr">
        <is>
          <t xml:space="preserve">  副業ワーカー報酬</t>
        </is>
      </c>
      <c r="B12" s="15">
        <f>前提条件!B26</f>
        <v/>
      </c>
      <c r="C12" s="15">
        <f>前提条件!C26</f>
        <v/>
      </c>
      <c r="D12" s="15">
        <f>前提条件!D26</f>
        <v/>
      </c>
      <c r="E12" s="16">
        <f>SUM(B12:D12)</f>
        <v/>
      </c>
    </row>
    <row r="13">
      <c r="A13" s="5" t="inlineStr">
        <is>
          <t xml:space="preserve">  FDE外注費</t>
        </is>
      </c>
      <c r="B13" s="15">
        <f>0</f>
        <v/>
      </c>
      <c r="C13" s="15">
        <f>200</f>
        <v/>
      </c>
      <c r="D13" s="15">
        <f>600</f>
        <v/>
      </c>
      <c r="E13" s="16">
        <f>SUM(B13:D13)</f>
        <v/>
      </c>
    </row>
    <row r="14">
      <c r="A14" s="7" t="inlineStr">
        <is>
          <t>売上原価合計</t>
        </is>
      </c>
      <c r="B14" s="21">
        <f>SUM(B12:B13)</f>
        <v/>
      </c>
      <c r="C14" s="21">
        <f>SUM(C12:C13)</f>
        <v/>
      </c>
      <c r="D14" s="21">
        <f>SUM(D12:D13)</f>
        <v/>
      </c>
      <c r="E14" s="21">
        <f>SUM(B14:D14)</f>
        <v/>
      </c>
    </row>
    <row r="15">
      <c r="A15" s="5" t="inlineStr"/>
      <c r="B15" s="14" t="n"/>
      <c r="C15" s="14" t="n"/>
      <c r="D15" s="14" t="n"/>
      <c r="E15" s="14" t="n"/>
    </row>
    <row r="16">
      <c r="A16" s="22" t="inlineStr">
        <is>
          <t>売上総利益（粗利）</t>
        </is>
      </c>
      <c r="B16" s="23">
        <f>B8-B14</f>
        <v/>
      </c>
      <c r="C16" s="23">
        <f>C8-C14</f>
        <v/>
      </c>
      <c r="D16" s="23">
        <f>D8-D14</f>
        <v/>
      </c>
      <c r="E16" s="23">
        <f>SUM(B16:D16)</f>
        <v/>
      </c>
    </row>
    <row r="17">
      <c r="A17" s="18" t="inlineStr">
        <is>
          <t>粗利率</t>
        </is>
      </c>
      <c r="B17" s="20">
        <f>B16/B8</f>
        <v/>
      </c>
      <c r="C17" s="20">
        <f>C16/C8</f>
        <v/>
      </c>
      <c r="D17" s="20">
        <f>D16/D8</f>
        <v/>
      </c>
      <c r="E17" s="14" t="n"/>
    </row>
    <row r="18">
      <c r="A18" s="14" t="n"/>
      <c r="B18" s="14" t="n"/>
      <c r="C18" s="14" t="n"/>
      <c r="D18" s="14" t="n"/>
      <c r="E18" s="14" t="n"/>
    </row>
    <row r="19">
      <c r="A19" s="13" t="inlineStr">
        <is>
          <t>【販売費及び一般管理費】</t>
        </is>
      </c>
      <c r="B19" s="14" t="n"/>
      <c r="C19" s="14" t="n"/>
      <c r="D19" s="14" t="n"/>
      <c r="E19" s="14" t="n"/>
    </row>
    <row r="20">
      <c r="A20" s="5" t="inlineStr">
        <is>
          <t xml:space="preserve">  FDE人件費</t>
        </is>
      </c>
      <c r="B20" s="15">
        <f>前提条件!B21</f>
        <v/>
      </c>
      <c r="C20" s="15">
        <f>前提条件!C21</f>
        <v/>
      </c>
      <c r="D20" s="15">
        <f>前提条件!D21</f>
        <v/>
      </c>
      <c r="E20" s="16">
        <f>SUM(B20:D20)</f>
        <v/>
      </c>
    </row>
    <row r="21">
      <c r="A21" s="5" t="inlineStr">
        <is>
          <t xml:space="preserve">  創業者報酬</t>
        </is>
      </c>
      <c r="B21" s="15">
        <f>前提条件!B22</f>
        <v/>
      </c>
      <c r="C21" s="15">
        <f>前提条件!C22</f>
        <v/>
      </c>
      <c r="D21" s="15">
        <f>前提条件!D22</f>
        <v/>
      </c>
      <c r="E21" s="16">
        <f>SUM(B21:D21)</f>
        <v/>
      </c>
    </row>
    <row r="22">
      <c r="A22" s="5" t="inlineStr">
        <is>
          <t xml:space="preserve">  管理・営業スタッフ費</t>
        </is>
      </c>
      <c r="B22" s="15">
        <f>前提条件!B23</f>
        <v/>
      </c>
      <c r="C22" s="15">
        <f>前提条件!C23</f>
        <v/>
      </c>
      <c r="D22" s="15">
        <f>前提条件!D23</f>
        <v/>
      </c>
      <c r="E22" s="16">
        <f>SUM(B22:D22)</f>
        <v/>
      </c>
    </row>
    <row r="23">
      <c r="A23" s="5" t="inlineStr">
        <is>
          <t xml:space="preserve">  オフィス・インフラ費</t>
        </is>
      </c>
      <c r="B23" s="15">
        <f>前提条件!B27</f>
        <v/>
      </c>
      <c r="C23" s="15">
        <f>前提条件!C27</f>
        <v/>
      </c>
      <c r="D23" s="15">
        <f>前提条件!D27</f>
        <v/>
      </c>
      <c r="E23" s="16">
        <f>SUM(B23:D23)</f>
        <v/>
      </c>
    </row>
    <row r="24">
      <c r="A24" s="5" t="inlineStr">
        <is>
          <t xml:space="preserve">  マーケティング費</t>
        </is>
      </c>
      <c r="B24" s="15">
        <f>前提条件!B28</f>
        <v/>
      </c>
      <c r="C24" s="15">
        <f>前提条件!C28</f>
        <v/>
      </c>
      <c r="D24" s="15">
        <f>前提条件!D28</f>
        <v/>
      </c>
      <c r="E24" s="16">
        <f>SUM(B24:D24)</f>
        <v/>
      </c>
    </row>
    <row r="25">
      <c r="A25" s="5" t="inlineStr">
        <is>
          <t xml:space="preserve">  法務・許認可費</t>
        </is>
      </c>
      <c r="B25" s="15">
        <f>前提条件!B29</f>
        <v/>
      </c>
      <c r="C25" s="15">
        <f>前提条件!C29</f>
        <v/>
      </c>
      <c r="D25" s="15">
        <f>前提条件!D29</f>
        <v/>
      </c>
      <c r="E25" s="16">
        <f>SUM(B25:D25)</f>
        <v/>
      </c>
    </row>
    <row r="26">
      <c r="A26" s="5" t="inlineStr">
        <is>
          <t xml:space="preserve">  採用費</t>
        </is>
      </c>
      <c r="B26" s="15">
        <f>前提条件!B30</f>
        <v/>
      </c>
      <c r="C26" s="15">
        <f>前提条件!C30</f>
        <v/>
      </c>
      <c r="D26" s="15">
        <f>前提条件!D30</f>
        <v/>
      </c>
      <c r="E26" s="16">
        <f>SUM(B26:D26)</f>
        <v/>
      </c>
    </row>
    <row r="27">
      <c r="A27" s="5" t="inlineStr">
        <is>
          <t xml:space="preserve">  システム開発費</t>
        </is>
      </c>
      <c r="B27" s="15">
        <f>前提条件!B31</f>
        <v/>
      </c>
      <c r="C27" s="15">
        <f>前提条件!C31</f>
        <v/>
      </c>
      <c r="D27" s="15">
        <f>前提条件!D31</f>
        <v/>
      </c>
      <c r="E27" s="16">
        <f>SUM(B27:D27)</f>
        <v/>
      </c>
    </row>
    <row r="28">
      <c r="A28" s="5" t="inlineStr">
        <is>
          <t xml:space="preserve">  その他</t>
        </is>
      </c>
      <c r="B28" s="15">
        <f>前提条件!B32</f>
        <v/>
      </c>
      <c r="C28" s="15">
        <f>前提条件!C32</f>
        <v/>
      </c>
      <c r="D28" s="15">
        <f>前提条件!D32</f>
        <v/>
      </c>
      <c r="E28" s="16">
        <f>SUM(B28:D28)</f>
        <v/>
      </c>
    </row>
    <row r="29">
      <c r="A29" s="7" t="inlineStr">
        <is>
          <t>販管費合計</t>
        </is>
      </c>
      <c r="B29" s="21">
        <f>SUM(B20:B28)</f>
        <v/>
      </c>
      <c r="C29" s="21">
        <f>SUM(C20:C28)</f>
        <v/>
      </c>
      <c r="D29" s="21">
        <f>SUM(D20:D28)</f>
        <v/>
      </c>
      <c r="E29" s="21">
        <f>SUM(B29:D29)</f>
        <v/>
      </c>
    </row>
    <row r="30">
      <c r="A30" s="18" t="inlineStr">
        <is>
          <t>販管費率</t>
        </is>
      </c>
      <c r="B30" s="20">
        <f>B29/B8</f>
        <v/>
      </c>
      <c r="C30" s="20">
        <f>C29/C8</f>
        <v/>
      </c>
      <c r="D30" s="20">
        <f>D29/D8</f>
        <v/>
      </c>
      <c r="E30" s="14" t="n"/>
    </row>
    <row r="31">
      <c r="A31" s="5" t="inlineStr"/>
      <c r="B31" s="14" t="n"/>
      <c r="C31" s="14" t="n"/>
      <c r="D31" s="14" t="n"/>
      <c r="E31" s="14" t="n"/>
    </row>
    <row r="32">
      <c r="A32" s="22" t="inlineStr">
        <is>
          <t>営業利益（EBIT）</t>
        </is>
      </c>
      <c r="B32" s="23">
        <f>B16-B29</f>
        <v/>
      </c>
      <c r="C32" s="23">
        <f>C16-C29</f>
        <v/>
      </c>
      <c r="D32" s="23">
        <f>D16-D29</f>
        <v/>
      </c>
      <c r="E32" s="23">
        <f>SUM(B32:D32)</f>
        <v/>
      </c>
    </row>
    <row r="33">
      <c r="A33" s="18" t="inlineStr">
        <is>
          <t>営業利益率</t>
        </is>
      </c>
      <c r="B33" s="20">
        <f>B32/B8</f>
        <v/>
      </c>
      <c r="C33" s="20">
        <f>C32/C8</f>
        <v/>
      </c>
      <c r="D33" s="20">
        <f>D32/D8</f>
        <v/>
      </c>
      <c r="E33" s="14" t="n"/>
    </row>
    <row r="34">
      <c r="A34" s="18" t="inlineStr">
        <is>
          <t xml:space="preserve">  (+) 減価償却費</t>
        </is>
      </c>
      <c r="B34" s="24">
        <f>前提条件!B38</f>
        <v/>
      </c>
      <c r="C34" s="24">
        <f>前提条件!C38</f>
        <v/>
      </c>
      <c r="D34" s="24">
        <f>前提条件!D38</f>
        <v/>
      </c>
      <c r="E34" s="14" t="n"/>
    </row>
    <row r="35">
      <c r="A35" s="22" t="inlineStr">
        <is>
          <t>EBITDA</t>
        </is>
      </c>
      <c r="B35" s="23">
        <f>B32+B34</f>
        <v/>
      </c>
      <c r="C35" s="23">
        <f>C32+C34</f>
        <v/>
      </c>
      <c r="D35" s="23">
        <f>D32+D34</f>
        <v/>
      </c>
      <c r="E35" s="23">
        <f>SUM(B35:D35)</f>
        <v/>
      </c>
    </row>
    <row r="36">
      <c r="A36" s="18" t="inlineStr">
        <is>
          <t>EBITDAマージン</t>
        </is>
      </c>
      <c r="B36" s="20">
        <f>B35/B8</f>
        <v/>
      </c>
      <c r="C36" s="20">
        <f>C35/C8</f>
        <v/>
      </c>
      <c r="D36" s="20">
        <f>D35/D8</f>
        <v/>
      </c>
      <c r="E36" s="14" t="n"/>
    </row>
    <row r="37">
      <c r="A37" s="5" t="inlineStr">
        <is>
          <t xml:space="preserve">  法人税等（実効税率30%）</t>
        </is>
      </c>
      <c r="B37" s="15">
        <f>IF(B32&gt;0,ROUND(B32*前提条件!B37,0),0)</f>
        <v/>
      </c>
      <c r="C37" s="15">
        <f>IF(C32&gt;0,ROUND(C32*前提条件!B37,0),0)</f>
        <v/>
      </c>
      <c r="D37" s="15">
        <f>IF(D32&gt;0,ROUND(D32*前提条件!B37,0),0)</f>
        <v/>
      </c>
      <c r="E37" s="14" t="n"/>
    </row>
    <row r="38">
      <c r="A38" s="22" t="inlineStr">
        <is>
          <t>当期純利益</t>
        </is>
      </c>
      <c r="B38" s="23">
        <f>B32-B37</f>
        <v/>
      </c>
      <c r="C38" s="23">
        <f>C32-C37</f>
        <v/>
      </c>
      <c r="D38" s="23">
        <f>D32-D37</f>
        <v/>
      </c>
      <c r="E38" s="23">
        <f>SUM(B38:D38)</f>
        <v/>
      </c>
    </row>
    <row r="39">
      <c r="A39" s="18" t="inlineStr">
        <is>
          <t>純利益率</t>
        </is>
      </c>
      <c r="B39" s="20">
        <f>B38/B8</f>
        <v/>
      </c>
      <c r="C39" s="20">
        <f>C38/C8</f>
        <v/>
      </c>
      <c r="D39" s="20">
        <f>D38/D8</f>
        <v/>
      </c>
      <c r="E39" s="14" t="n"/>
    </row>
  </sheetData>
  <mergeCells count="7">
    <mergeCell ref="A4:E4"/>
    <mergeCell ref="A2:E2"/>
    <mergeCell ref="A15:E15"/>
    <mergeCell ref="A19:E19"/>
    <mergeCell ref="A11:E11"/>
    <mergeCell ref="A1:E1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貸借対照表（B/S）3ヶ年</t>
        </is>
      </c>
    </row>
    <row r="2">
      <c r="A2" s="2" t="inlineStr">
        <is>
          <t>単位：万円  |  期末残高  |  PL・CF連動</t>
        </is>
      </c>
    </row>
    <row r="3">
      <c r="A3" s="12" t="inlineStr">
        <is>
          <t>項目</t>
        </is>
      </c>
      <c r="B3" s="12" t="inlineStr">
        <is>
          <t>期首（Year0）</t>
        </is>
      </c>
      <c r="C3" s="12" t="inlineStr">
        <is>
          <t>Year1末</t>
        </is>
      </c>
      <c r="D3" s="12" t="inlineStr">
        <is>
          <t>Year2末</t>
        </is>
      </c>
      <c r="E3" s="12" t="inlineStr">
        <is>
          <t>Year3末</t>
        </is>
      </c>
    </row>
    <row r="4">
      <c r="A4" s="13" t="inlineStr">
        <is>
          <t>【資産の部】</t>
        </is>
      </c>
      <c r="B4" s="14" t="n"/>
      <c r="C4" s="14" t="n"/>
      <c r="D4" s="14" t="n"/>
      <c r="E4" s="14" t="n"/>
    </row>
    <row r="5">
      <c r="A5" s="5" t="inlineStr">
        <is>
          <t xml:space="preserve">  現金・預金</t>
        </is>
      </c>
      <c r="B5" s="15" t="n">
        <v>2000</v>
      </c>
      <c r="C5" s="15">
        <f>B5+CF（キャッシュフロー計算書）!B20</f>
        <v/>
      </c>
      <c r="D5" s="15">
        <f>C5+CF（キャッシュフロー計算書）!C20</f>
        <v/>
      </c>
      <c r="E5" s="15">
        <f>D5+CF（キャッシュフロー計算書）!D20</f>
        <v/>
      </c>
    </row>
    <row r="6">
      <c r="A6" s="5" t="inlineStr">
        <is>
          <t xml:space="preserve">  売掛金</t>
        </is>
      </c>
      <c r="B6" s="15" t="n">
        <v>0</v>
      </c>
      <c r="C6" s="15">
        <f>ROUND(PL（損益計算書）!B8*前提条件!B41/365,0)</f>
        <v/>
      </c>
      <c r="D6" s="15">
        <f>ROUND(PL（損益計算書）!C8*前提条件!C41/365,0)</f>
        <v/>
      </c>
      <c r="E6" s="15">
        <f>ROUND(PL（損益計算書）!D8*前提条件!D41/365,0)</f>
        <v/>
      </c>
    </row>
    <row r="7">
      <c r="A7" s="5" t="inlineStr">
        <is>
          <t xml:space="preserve">  前払費用・その他流動資産</t>
        </is>
      </c>
      <c r="B7" s="15" t="n">
        <v>50</v>
      </c>
      <c r="C7" s="15" t="n">
        <v>50</v>
      </c>
      <c r="D7" s="15" t="n">
        <v>50</v>
      </c>
      <c r="E7" s="15" t="n">
        <v>50</v>
      </c>
    </row>
    <row r="8">
      <c r="A8" s="7" t="inlineStr">
        <is>
          <t>流動資産合計</t>
        </is>
      </c>
      <c r="B8" s="21">
        <f>SUM(B5:B7)</f>
        <v/>
      </c>
      <c r="C8" s="21">
        <f>SUM(C5:C7)</f>
        <v/>
      </c>
      <c r="D8" s="21">
        <f>SUM(D5:D7)</f>
        <v/>
      </c>
      <c r="E8" s="21">
        <f>SUM(E5:E7)</f>
        <v/>
      </c>
    </row>
    <row r="9">
      <c r="A9" s="5" t="inlineStr">
        <is>
          <t xml:space="preserve">  固定資産（純額）</t>
        </is>
      </c>
      <c r="B9" s="15" t="n">
        <v>0</v>
      </c>
      <c r="C9" s="15">
        <f>B9+前提条件!B39-前提条件!B38</f>
        <v/>
      </c>
      <c r="D9" s="15">
        <f>C9+前提条件!C39-前提条件!C38</f>
        <v/>
      </c>
      <c r="E9" s="15">
        <f>D9+前提条件!D39-前提条件!D38</f>
        <v/>
      </c>
    </row>
    <row r="10">
      <c r="A10" s="9" t="inlineStr">
        <is>
          <t>資産合計</t>
        </is>
      </c>
      <c r="B10" s="17">
        <f>B8+B9</f>
        <v/>
      </c>
      <c r="C10" s="17">
        <f>C8+C9</f>
        <v/>
      </c>
      <c r="D10" s="17">
        <f>D8+D9</f>
        <v/>
      </c>
      <c r="E10" s="17">
        <f>E8+E9</f>
        <v/>
      </c>
    </row>
    <row r="11">
      <c r="A11" s="14" t="n"/>
      <c r="B11" s="14" t="n"/>
      <c r="C11" s="14" t="n"/>
      <c r="D11" s="14" t="n"/>
      <c r="E11" s="14" t="n"/>
    </row>
    <row r="12">
      <c r="A12" s="13" t="inlineStr">
        <is>
          <t>【負債の部】</t>
        </is>
      </c>
      <c r="B12" s="14" t="n"/>
      <c r="C12" s="14" t="n"/>
      <c r="D12" s="14" t="n"/>
      <c r="E12" s="14" t="n"/>
    </row>
    <row r="13">
      <c r="A13" s="5" t="inlineStr">
        <is>
          <t xml:space="preserve">  買掛金</t>
        </is>
      </c>
      <c r="B13" s="15" t="n">
        <v>0</v>
      </c>
      <c r="C13" s="15">
        <f>ROUND(PL（損益計算書）!B14*前提条件!B42/365,0)</f>
        <v/>
      </c>
      <c r="D13" s="15">
        <f>ROUND(PL（損益計算書）!C14*前提条件!C42/365,0)</f>
        <v/>
      </c>
      <c r="E13" s="15">
        <f>ROUND(PL（損益計算書）!D14*前提条件!D42/365,0)</f>
        <v/>
      </c>
    </row>
    <row r="14">
      <c r="A14" s="5" t="inlineStr">
        <is>
          <t xml:space="preserve">  未払費用（人件費等）</t>
        </is>
      </c>
      <c r="B14" s="15" t="n">
        <v>0</v>
      </c>
      <c r="C14" s="15">
        <f>ROUND(前提条件!B24/12,0)</f>
        <v/>
      </c>
      <c r="D14" s="15">
        <f>ROUND(前提条件!C24/12,0)</f>
        <v/>
      </c>
      <c r="E14" s="15">
        <f>ROUND(前提条件!D24/12,0)</f>
        <v/>
      </c>
    </row>
    <row r="15">
      <c r="A15" s="7" t="inlineStr">
        <is>
          <t>流動負債合計</t>
        </is>
      </c>
      <c r="B15" s="21">
        <f>SUM(B13:B14)</f>
        <v/>
      </c>
      <c r="C15" s="21">
        <f>SUM(C13:C14)</f>
        <v/>
      </c>
      <c r="D15" s="21">
        <f>SUM(D13:D14)</f>
        <v/>
      </c>
      <c r="E15" s="21">
        <f>SUM(E13:E14)</f>
        <v/>
      </c>
    </row>
    <row r="16">
      <c r="A16" s="5" t="inlineStr">
        <is>
          <t xml:space="preserve">  借入金・長期負債</t>
        </is>
      </c>
      <c r="B16" s="15" t="n">
        <v>0</v>
      </c>
      <c r="C16" s="15" t="n">
        <v>0</v>
      </c>
      <c r="D16" s="15" t="n">
        <v>0</v>
      </c>
      <c r="E16" s="15" t="n">
        <v>0</v>
      </c>
    </row>
    <row r="17">
      <c r="A17" s="7" t="inlineStr">
        <is>
          <t>負債合計</t>
        </is>
      </c>
      <c r="B17" s="21">
        <f>B15+B16</f>
        <v/>
      </c>
      <c r="C17" s="21">
        <f>C15+C16</f>
        <v/>
      </c>
      <c r="D17" s="21">
        <f>D15+D16</f>
        <v/>
      </c>
      <c r="E17" s="21">
        <f>E15+E16</f>
        <v/>
      </c>
    </row>
    <row r="18">
      <c r="A18" s="14" t="n"/>
      <c r="B18" s="14" t="n"/>
      <c r="C18" s="14" t="n"/>
      <c r="D18" s="14" t="n"/>
      <c r="E18" s="14" t="n"/>
    </row>
    <row r="19">
      <c r="A19" s="13" t="inlineStr">
        <is>
          <t>【純資産の部】</t>
        </is>
      </c>
      <c r="B19" s="14" t="n"/>
      <c r="C19" s="14" t="n"/>
      <c r="D19" s="14" t="n"/>
      <c r="E19" s="14" t="n"/>
    </row>
    <row r="20">
      <c r="A20" s="5" t="inlineStr">
        <is>
          <t xml:space="preserve">  資本金・資本剰余金</t>
        </is>
      </c>
      <c r="B20" s="15" t="n">
        <v>2000</v>
      </c>
      <c r="C20" s="15">
        <f>B20</f>
        <v/>
      </c>
      <c r="D20" s="15">
        <f>B20</f>
        <v/>
      </c>
      <c r="E20" s="15">
        <f>B20</f>
        <v/>
      </c>
    </row>
    <row r="21">
      <c r="A21" s="5" t="inlineStr">
        <is>
          <t xml:space="preserve">  利益剰余金（累積）</t>
        </is>
      </c>
      <c r="B21" s="15" t="n">
        <v>0</v>
      </c>
      <c r="C21" s="15">
        <f>B21+PL（損益計算書）!B38</f>
        <v/>
      </c>
      <c r="D21" s="15">
        <f>C21+PL（損益計算書）!C38</f>
        <v/>
      </c>
      <c r="E21" s="15">
        <f>D21+PL（損益計算書）!D38</f>
        <v/>
      </c>
    </row>
    <row r="22">
      <c r="A22" s="22" t="inlineStr">
        <is>
          <t>純資産合計</t>
        </is>
      </c>
      <c r="B22" s="23">
        <f>B20+B21</f>
        <v/>
      </c>
      <c r="C22" s="23">
        <f>C20+C21</f>
        <v/>
      </c>
      <c r="D22" s="23">
        <f>D20+D21</f>
        <v/>
      </c>
      <c r="E22" s="23">
        <f>E20+E21</f>
        <v/>
      </c>
    </row>
    <row r="23">
      <c r="A23" s="9" t="inlineStr">
        <is>
          <t>負債・純資産合計</t>
        </is>
      </c>
      <c r="B23" s="17">
        <f>B17+B22</f>
        <v/>
      </c>
      <c r="C23" s="17">
        <f>C17+C22</f>
        <v/>
      </c>
      <c r="D23" s="17">
        <f>D17+D22</f>
        <v/>
      </c>
      <c r="E23" s="17">
        <f>E17+E22</f>
        <v/>
      </c>
    </row>
    <row r="24">
      <c r="A24" s="25" t="inlineStr">
        <is>
          <t xml:space="preserve">  ✓ バランスチェック（資産-負債純資産）</t>
        </is>
      </c>
      <c r="B24" s="26">
        <f>B10-B23</f>
        <v/>
      </c>
      <c r="C24" s="26">
        <f>C10-C23</f>
        <v/>
      </c>
      <c r="D24" s="26">
        <f>D10-D23</f>
        <v/>
      </c>
      <c r="E24" s="26">
        <f>E10-E23</f>
        <v/>
      </c>
    </row>
  </sheetData>
  <mergeCells count="5">
    <mergeCell ref="A12:E12"/>
    <mergeCell ref="A4:E4"/>
    <mergeCell ref="A2:E2"/>
    <mergeCell ref="A19:E19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キャッシュフロー計算書（間接法）3ヶ年</t>
        </is>
      </c>
    </row>
    <row r="2">
      <c r="A2" s="2" t="inlineStr">
        <is>
          <t>単位：万円  |  PL・BS連動  ※CF合計 = 現金増減に一致</t>
        </is>
      </c>
    </row>
    <row r="3">
      <c r="A3" s="12" t="inlineStr">
        <is>
          <t>項目</t>
        </is>
      </c>
      <c r="B3" s="12" t="inlineStr">
        <is>
          <t>Year1</t>
        </is>
      </c>
      <c r="C3" s="12" t="inlineStr">
        <is>
          <t>Year2</t>
        </is>
      </c>
      <c r="D3" s="12" t="inlineStr">
        <is>
          <t>Year3</t>
        </is>
      </c>
      <c r="E3" s="12" t="inlineStr">
        <is>
          <t>3年累計</t>
        </is>
      </c>
    </row>
    <row r="4">
      <c r="A4" s="13" t="inlineStr">
        <is>
          <t>【営業活動によるCF】</t>
        </is>
      </c>
      <c r="B4" s="14" t="n"/>
      <c r="C4" s="14" t="n"/>
      <c r="D4" s="14" t="n"/>
      <c r="E4" s="14" t="n"/>
    </row>
    <row r="5">
      <c r="A5" s="5" t="inlineStr">
        <is>
          <t xml:space="preserve">  当期純利益</t>
        </is>
      </c>
      <c r="B5" s="15">
        <f>PL（損益計算書）!B38</f>
        <v/>
      </c>
      <c r="C5" s="15">
        <f>PL（損益計算書）!C38</f>
        <v/>
      </c>
      <c r="D5" s="15">
        <f>PL（損益計算書）!D38</f>
        <v/>
      </c>
      <c r="E5" s="16">
        <f>SUM(B5:D5)</f>
        <v/>
      </c>
    </row>
    <row r="6">
      <c r="A6" s="5" t="inlineStr">
        <is>
          <t xml:space="preserve">  (+) 減価償却費（非資金費用）</t>
        </is>
      </c>
      <c r="B6" s="15">
        <f>前提条件!B38</f>
        <v/>
      </c>
      <c r="C6" s="15">
        <f>前提条件!C38</f>
        <v/>
      </c>
      <c r="D6" s="15">
        <f>前提条件!D38</f>
        <v/>
      </c>
      <c r="E6" s="16">
        <f>SUM(B6:D6)</f>
        <v/>
      </c>
    </row>
    <row r="7">
      <c r="A7" s="5" t="inlineStr">
        <is>
          <t xml:space="preserve">  (-) 売掛金増加</t>
        </is>
      </c>
      <c r="B7" s="15">
        <f>-(BS（貸借対照表）!C6-BS（貸借対照表）!B6)</f>
        <v/>
      </c>
      <c r="C7" s="15">
        <f>-(BS（貸借対照表）!D6-BS（貸借対照表）!C6)</f>
        <v/>
      </c>
      <c r="D7" s="15">
        <f>-(BS（貸借対照表）!E6-BS（貸借対照表）!D6)</f>
        <v/>
      </c>
      <c r="E7" s="16">
        <f>SUM(B7:D7)</f>
        <v/>
      </c>
    </row>
    <row r="8">
      <c r="A8" s="5" t="inlineStr">
        <is>
          <t xml:space="preserve">  (+) 買掛金増加</t>
        </is>
      </c>
      <c r="B8" s="15">
        <f>BS（貸借対照表）!C13-BS（貸借対照表）!B13</f>
        <v/>
      </c>
      <c r="C8" s="15">
        <f>BS（貸借対照表）!D13-BS（貸借対照表）!C13</f>
        <v/>
      </c>
      <c r="D8" s="15">
        <f>BS（貸借対照表）!E13-BS（貸借対照表）!D13</f>
        <v/>
      </c>
      <c r="E8" s="16">
        <f>SUM(B8:D8)</f>
        <v/>
      </c>
    </row>
    <row r="9">
      <c r="A9" s="5" t="inlineStr">
        <is>
          <t xml:space="preserve">  (-) 法人税等支払い</t>
        </is>
      </c>
      <c r="B9" s="15">
        <f>-PL（損益計算書）!B37</f>
        <v/>
      </c>
      <c r="C9" s="15">
        <f>-PL（損益計算書）!C37</f>
        <v/>
      </c>
      <c r="D9" s="15">
        <f>-PL（損益計算書）!D37</f>
        <v/>
      </c>
      <c r="E9" s="16">
        <f>SUM(B9:D9)</f>
        <v/>
      </c>
    </row>
    <row r="10">
      <c r="A10" s="22" t="inlineStr">
        <is>
          <t>営業活動CF合計</t>
        </is>
      </c>
      <c r="B10" s="23">
        <f>SUM(B5:B9)</f>
        <v/>
      </c>
      <c r="C10" s="23">
        <f>SUM(C5:C9)</f>
        <v/>
      </c>
      <c r="D10" s="23">
        <f>SUM(D5:D9)</f>
        <v/>
      </c>
      <c r="E10" s="23">
        <f>SUM(B10:D10)</f>
        <v/>
      </c>
    </row>
    <row r="11">
      <c r="A11" s="14" t="n"/>
      <c r="B11" s="14" t="n"/>
      <c r="C11" s="14" t="n"/>
      <c r="D11" s="14" t="n"/>
      <c r="E11" s="14" t="n"/>
    </row>
    <row r="12">
      <c r="A12" s="13" t="inlineStr">
        <is>
          <t>【投資活動によるCF】</t>
        </is>
      </c>
      <c r="B12" s="14" t="n"/>
      <c r="C12" s="14" t="n"/>
      <c r="D12" s="14" t="n"/>
      <c r="E12" s="14" t="n"/>
    </row>
    <row r="13">
      <c r="A13" s="5" t="inlineStr">
        <is>
          <t xml:space="preserve">  (-) 設備投資（Capex）</t>
        </is>
      </c>
      <c r="B13" s="15">
        <f>-前提条件!B39</f>
        <v/>
      </c>
      <c r="C13" s="15">
        <f>-前提条件!C39</f>
        <v/>
      </c>
      <c r="D13" s="15">
        <f>-前提条件!D39</f>
        <v/>
      </c>
      <c r="E13" s="16">
        <f>SUM(B13:D13)</f>
        <v/>
      </c>
    </row>
    <row r="14">
      <c r="A14" s="27" t="inlineStr">
        <is>
          <t>投資活動CF合計</t>
        </is>
      </c>
      <c r="B14" s="28">
        <f>B13</f>
        <v/>
      </c>
      <c r="C14" s="28">
        <f>C13</f>
        <v/>
      </c>
      <c r="D14" s="28">
        <f>D13</f>
        <v/>
      </c>
      <c r="E14" s="28">
        <f>SUM(B14:D14)</f>
        <v/>
      </c>
    </row>
    <row r="15">
      <c r="A15" s="14" t="n"/>
      <c r="B15" s="14" t="n"/>
      <c r="C15" s="14" t="n"/>
      <c r="D15" s="14" t="n"/>
      <c r="E15" s="14" t="n"/>
    </row>
    <row r="16">
      <c r="A16" s="13" t="inlineStr">
        <is>
          <t>【財務活動によるCF】</t>
        </is>
      </c>
      <c r="B16" s="14" t="n"/>
      <c r="C16" s="14" t="n"/>
      <c r="D16" s="14" t="n"/>
      <c r="E16" s="14" t="n"/>
    </row>
    <row r="17">
      <c r="A17" s="5" t="inlineStr">
        <is>
          <t xml:space="preserve">  (+) 増資・資本調達</t>
        </is>
      </c>
      <c r="B17" s="15">
        <f>前提条件!B40</f>
        <v/>
      </c>
      <c r="C17" s="15">
        <f>前提条件!C40</f>
        <v/>
      </c>
      <c r="D17" s="15">
        <f>前提条件!D40</f>
        <v/>
      </c>
      <c r="E17" s="16">
        <f>SUM(B17:D17)</f>
        <v/>
      </c>
    </row>
    <row r="18">
      <c r="A18" s="7" t="inlineStr">
        <is>
          <t>財務活動CF合計</t>
        </is>
      </c>
      <c r="B18" s="21">
        <f>B17</f>
        <v/>
      </c>
      <c r="C18" s="21">
        <f>C17</f>
        <v/>
      </c>
      <c r="D18" s="21">
        <f>D17</f>
        <v/>
      </c>
      <c r="E18" s="21">
        <f>SUM(B18:D18)</f>
        <v/>
      </c>
    </row>
    <row r="19">
      <c r="A19" s="5" t="inlineStr"/>
      <c r="B19" s="14" t="n"/>
      <c r="C19" s="14" t="n"/>
      <c r="D19" s="14" t="n"/>
      <c r="E19" s="14" t="n"/>
    </row>
    <row r="20">
      <c r="A20" s="9" t="inlineStr">
        <is>
          <t>当期CF合計（純増減）</t>
        </is>
      </c>
      <c r="B20" s="17">
        <f>B10+B14+B18</f>
        <v/>
      </c>
      <c r="C20" s="17">
        <f>C10+C14+C18</f>
        <v/>
      </c>
      <c r="D20" s="17">
        <f>D10+D14+D18</f>
        <v/>
      </c>
      <c r="E20" s="17">
        <f>SUM(B20:D20)</f>
        <v/>
      </c>
    </row>
    <row r="21">
      <c r="A21" s="5" t="inlineStr">
        <is>
          <t>期首現金残高</t>
        </is>
      </c>
      <c r="B21" s="15" t="n">
        <v>2000</v>
      </c>
      <c r="C21" s="15">
        <f>B22</f>
        <v/>
      </c>
      <c r="D21" s="15">
        <f>C22</f>
        <v/>
      </c>
      <c r="E21" s="15">
        <f>B21</f>
        <v/>
      </c>
    </row>
    <row r="22">
      <c r="A22" s="22" t="inlineStr">
        <is>
          <t>期末現金残高</t>
        </is>
      </c>
      <c r="B22" s="23">
        <f>B21+B20</f>
        <v/>
      </c>
      <c r="C22" s="23">
        <f>C21+C20</f>
        <v/>
      </c>
      <c r="D22" s="23">
        <f>D21+D20</f>
        <v/>
      </c>
      <c r="E22" s="23">
        <f>D22</f>
        <v/>
      </c>
    </row>
    <row r="23">
      <c r="A23" s="14" t="n"/>
      <c r="B23" s="14" t="n"/>
      <c r="C23" s="14" t="n"/>
      <c r="D23" s="14" t="n"/>
      <c r="E23" s="14" t="n"/>
    </row>
    <row r="24">
      <c r="A24" s="25" t="inlineStr">
        <is>
          <t xml:space="preserve">  ✓ BS現金との差異（0が正常）</t>
        </is>
      </c>
      <c r="B24" s="26">
        <f>B22-BS（貸借対照表）!C5</f>
        <v/>
      </c>
      <c r="C24" s="26">
        <f>C22-BS（貸借対照表）!D5</f>
        <v/>
      </c>
      <c r="D24" s="26">
        <f>D22-BS（貸借対照表）!E5</f>
        <v/>
      </c>
      <c r="E24" s="14" t="n"/>
    </row>
  </sheetData>
  <mergeCells count="6">
    <mergeCell ref="A12:E12"/>
    <mergeCell ref="A4:E4"/>
    <mergeCell ref="A2:E2"/>
    <mergeCell ref="A16:E16"/>
    <mergeCell ref="A19:E19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9" t="inlineStr">
        <is>
          <t>UNLID 感度分析——売上成長率 × 原価率 → 営業利益への影響</t>
        </is>
      </c>
    </row>
    <row r="2">
      <c r="A2" s="2" t="inlineStr">
        <is>
          <t>単位：万円  |  Year2を基準にした2軸感度分析（売上成長率 × 原価率）</t>
        </is>
      </c>
    </row>
    <row r="4">
      <c r="A4" s="3" t="inlineStr">
        <is>
          <t>【分析①】Year2 営業利益：売上成長率 × 原価率</t>
        </is>
      </c>
    </row>
    <row r="5">
      <c r="A5" s="30" t="inlineStr">
        <is>
          <t>Year1売上実績（万円）</t>
        </is>
      </c>
      <c r="B5" s="31">
        <f>PL（損益計算書）!B8</f>
        <v/>
      </c>
    </row>
    <row r="6">
      <c r="A6" s="30" t="inlineStr">
        <is>
          <t>Year2 販管費固定額（万円）</t>
        </is>
      </c>
      <c r="B6" s="31">
        <f>PL（損益計算書）!C29</f>
        <v/>
      </c>
    </row>
    <row r="7">
      <c r="A7" s="32" t="inlineStr">
        <is>
          <t>【見方】縦：売上成長率、横：原価率（売上に対する割合）</t>
        </is>
      </c>
    </row>
    <row r="9">
      <c r="A9" s="4" t="inlineStr">
        <is>
          <t>売上成長率 \ 原価率</t>
        </is>
      </c>
      <c r="B9" s="33" t="n">
        <v>0.05</v>
      </c>
      <c r="C9" s="33" t="n">
        <v>0.08</v>
      </c>
      <c r="D9" s="33" t="n">
        <v>0.1</v>
      </c>
      <c r="E9" s="33" t="n">
        <v>0.12</v>
      </c>
      <c r="F9" s="33" t="n">
        <v>0.15</v>
      </c>
      <c r="G9" s="33" t="n">
        <v>0.18</v>
      </c>
      <c r="H9" s="33" t="n">
        <v>0.2</v>
      </c>
    </row>
    <row r="10">
      <c r="A10" s="34" t="n">
        <v>2</v>
      </c>
      <c r="B10" s="6">
        <f>$B$5*2.0*(1-B$9)-$B$6</f>
        <v/>
      </c>
      <c r="C10" s="6">
        <f>$B$5*2.0*(1-C$9)-$B$6</f>
        <v/>
      </c>
      <c r="D10" s="6">
        <f>$B$5*2.0*(1-D$9)-$B$6</f>
        <v/>
      </c>
      <c r="E10" s="6">
        <f>$B$5*2.0*(1-E$9)-$B$6</f>
        <v/>
      </c>
      <c r="F10" s="6">
        <f>$B$5*2.0*(1-F$9)-$B$6</f>
        <v/>
      </c>
      <c r="G10" s="6">
        <f>$B$5*2.0*(1-G$9)-$B$6</f>
        <v/>
      </c>
      <c r="H10" s="6">
        <f>$B$5*2.0*(1-H$9)-$B$6</f>
        <v/>
      </c>
    </row>
    <row r="11">
      <c r="A11" s="35" t="n">
        <v>3</v>
      </c>
      <c r="B11" s="6">
        <f>$B$5*3.0*(1-B$9)-$B$6</f>
        <v/>
      </c>
      <c r="C11" s="6">
        <f>$B$5*3.0*(1-C$9)-$B$6</f>
        <v/>
      </c>
      <c r="D11" s="6">
        <f>$B$5*3.0*(1-D$9)-$B$6</f>
        <v/>
      </c>
      <c r="E11" s="6">
        <f>$B$5*3.0*(1-E$9)-$B$6</f>
        <v/>
      </c>
      <c r="F11" s="6">
        <f>$B$5*3.0*(1-F$9)-$B$6</f>
        <v/>
      </c>
      <c r="G11" s="6">
        <f>$B$5*3.0*(1-G$9)-$B$6</f>
        <v/>
      </c>
      <c r="H11" s="6">
        <f>$B$5*3.0*(1-H$9)-$B$6</f>
        <v/>
      </c>
    </row>
    <row r="12">
      <c r="A12" s="34" t="n">
        <v>4</v>
      </c>
      <c r="B12" s="6">
        <f>$B$5*4.0*(1-B$9)-$B$6</f>
        <v/>
      </c>
      <c r="C12" s="6">
        <f>$B$5*4.0*(1-C$9)-$B$6</f>
        <v/>
      </c>
      <c r="D12" s="6">
        <f>$B$5*4.0*(1-D$9)-$B$6</f>
        <v/>
      </c>
      <c r="E12" s="6">
        <f>$B$5*4.0*(1-E$9)-$B$6</f>
        <v/>
      </c>
      <c r="F12" s="6">
        <f>$B$5*4.0*(1-F$9)-$B$6</f>
        <v/>
      </c>
      <c r="G12" s="6">
        <f>$B$5*4.0*(1-G$9)-$B$6</f>
        <v/>
      </c>
      <c r="H12" s="6">
        <f>$B$5*4.0*(1-H$9)-$B$6</f>
        <v/>
      </c>
    </row>
    <row r="13">
      <c r="A13" s="35" t="n">
        <v>5</v>
      </c>
      <c r="B13" s="6">
        <f>$B$5*5.0*(1-B$9)-$B$6</f>
        <v/>
      </c>
      <c r="C13" s="6">
        <f>$B$5*5.0*(1-C$9)-$B$6</f>
        <v/>
      </c>
      <c r="D13" s="6">
        <f>$B$5*5.0*(1-D$9)-$B$6</f>
        <v/>
      </c>
      <c r="E13" s="6">
        <f>$B$5*5.0*(1-E$9)-$B$6</f>
        <v/>
      </c>
      <c r="F13" s="6">
        <f>$B$5*5.0*(1-F$9)-$B$6</f>
        <v/>
      </c>
      <c r="G13" s="6">
        <f>$B$5*5.0*(1-G$9)-$B$6</f>
        <v/>
      </c>
      <c r="H13" s="6">
        <f>$B$5*5.0*(1-H$9)-$B$6</f>
        <v/>
      </c>
    </row>
    <row r="14">
      <c r="A14" s="34" t="n">
        <v>6</v>
      </c>
      <c r="B14" s="6">
        <f>$B$5*6.0*(1-B$9)-$B$6</f>
        <v/>
      </c>
      <c r="C14" s="6">
        <f>$B$5*6.0*(1-C$9)-$B$6</f>
        <v/>
      </c>
      <c r="D14" s="6">
        <f>$B$5*6.0*(1-D$9)-$B$6</f>
        <v/>
      </c>
      <c r="E14" s="6">
        <f>$B$5*6.0*(1-E$9)-$B$6</f>
        <v/>
      </c>
      <c r="F14" s="6">
        <f>$B$5*6.0*(1-F$9)-$B$6</f>
        <v/>
      </c>
      <c r="G14" s="6">
        <f>$B$5*6.0*(1-G$9)-$B$6</f>
        <v/>
      </c>
      <c r="H14" s="6">
        <f>$B$5*6.0*(1-H$9)-$B$6</f>
        <v/>
      </c>
    </row>
    <row r="15">
      <c r="A15" s="35" t="n">
        <v>7</v>
      </c>
      <c r="B15" s="6">
        <f>$B$5*7.0*(1-B$9)-$B$6</f>
        <v/>
      </c>
      <c r="C15" s="6">
        <f>$B$5*7.0*(1-C$9)-$B$6</f>
        <v/>
      </c>
      <c r="D15" s="6">
        <f>$B$5*7.0*(1-D$9)-$B$6</f>
        <v/>
      </c>
      <c r="E15" s="6">
        <f>$B$5*7.0*(1-E$9)-$B$6</f>
        <v/>
      </c>
      <c r="F15" s="6">
        <f>$B$5*7.0*(1-F$9)-$B$6</f>
        <v/>
      </c>
      <c r="G15" s="6">
        <f>$B$5*7.0*(1-G$9)-$B$6</f>
        <v/>
      </c>
      <c r="H15" s="6">
        <f>$B$5*7.0*(1-H$9)-$B$6</f>
        <v/>
      </c>
    </row>
    <row r="16">
      <c r="A16" s="34" t="n">
        <v>8</v>
      </c>
      <c r="B16" s="6">
        <f>$B$5*8.0*(1-B$9)-$B$6</f>
        <v/>
      </c>
      <c r="C16" s="6">
        <f>$B$5*8.0*(1-C$9)-$B$6</f>
        <v/>
      </c>
      <c r="D16" s="6">
        <f>$B$5*8.0*(1-D$9)-$B$6</f>
        <v/>
      </c>
      <c r="E16" s="6">
        <f>$B$5*8.0*(1-E$9)-$B$6</f>
        <v/>
      </c>
      <c r="F16" s="6">
        <f>$B$5*8.0*(1-F$9)-$B$6</f>
        <v/>
      </c>
      <c r="G16" s="6">
        <f>$B$5*8.0*(1-G$9)-$B$6</f>
        <v/>
      </c>
      <c r="H16" s="6">
        <f>$B$5*8.0*(1-H$9)-$B$6</f>
        <v/>
      </c>
    </row>
    <row r="17">
      <c r="A17" s="35" t="n">
        <v>10</v>
      </c>
      <c r="B17" s="6">
        <f>$B$5*10.0*(1-B$9)-$B$6</f>
        <v/>
      </c>
      <c r="C17" s="6">
        <f>$B$5*10.0*(1-C$9)-$B$6</f>
        <v/>
      </c>
      <c r="D17" s="6">
        <f>$B$5*10.0*(1-D$9)-$B$6</f>
        <v/>
      </c>
      <c r="E17" s="6">
        <f>$B$5*10.0*(1-E$9)-$B$6</f>
        <v/>
      </c>
      <c r="F17" s="6">
        <f>$B$5*10.0*(1-F$9)-$B$6</f>
        <v/>
      </c>
      <c r="G17" s="6">
        <f>$B$5*10.0*(1-G$9)-$B$6</f>
        <v/>
      </c>
      <c r="H17" s="6">
        <f>$B$5*10.0*(1-H$9)-$B$6</f>
        <v/>
      </c>
    </row>
    <row r="19">
      <c r="A19" s="32" t="inlineStr">
        <is>
          <t>※ 原価率 = (ワーカー報酬+外注費) / 売上高。現状モデルは約8〜9%。</t>
        </is>
      </c>
    </row>
    <row r="22">
      <c r="A22" s="3" t="inlineStr">
        <is>
          <t>【分析②】Year2 売上：B2B契約社数 × 月額単価</t>
        </is>
      </c>
    </row>
    <row r="23">
      <c r="A23" s="30" t="inlineStr">
        <is>
          <t>人材紹介フィー固定（Year2）（万円）</t>
        </is>
      </c>
      <c r="B23" s="31">
        <f>PL（損益計算書）!C6</f>
        <v/>
      </c>
    </row>
    <row r="25">
      <c r="A25" s="4" t="inlineStr">
        <is>
          <t>契約社数 \ 月額単価（万円）</t>
        </is>
      </c>
      <c r="B25" s="36" t="n">
        <v>13</v>
      </c>
      <c r="C25" s="36" t="n">
        <v>15</v>
      </c>
      <c r="D25" s="36" t="n">
        <v>17</v>
      </c>
      <c r="E25" s="36" t="n">
        <v>18</v>
      </c>
      <c r="F25" s="36" t="n">
        <v>20</v>
      </c>
      <c r="G25" s="36" t="n">
        <v>22</v>
      </c>
      <c r="H25" s="36" t="n">
        <v>25</v>
      </c>
    </row>
    <row r="26">
      <c r="A26" s="37" t="n">
        <v>20</v>
      </c>
      <c r="B26" s="6">
        <f>20*13*12+$B$23</f>
        <v/>
      </c>
      <c r="C26" s="6">
        <f>20*15*12+$B$23</f>
        <v/>
      </c>
      <c r="D26" s="6">
        <f>20*17*12+$B$23</f>
        <v/>
      </c>
      <c r="E26" s="6">
        <f>20*18*12+$B$23</f>
        <v/>
      </c>
      <c r="F26" s="6">
        <f>20*20*12+$B$23</f>
        <v/>
      </c>
      <c r="G26" s="6">
        <f>20*22*12+$B$23</f>
        <v/>
      </c>
      <c r="H26" s="6">
        <f>20*25*12+$B$23</f>
        <v/>
      </c>
    </row>
    <row r="27">
      <c r="A27" s="38" t="n">
        <v>30</v>
      </c>
      <c r="B27" s="6">
        <f>30*13*12+$B$23</f>
        <v/>
      </c>
      <c r="C27" s="6">
        <f>30*15*12+$B$23</f>
        <v/>
      </c>
      <c r="D27" s="6">
        <f>30*17*12+$B$23</f>
        <v/>
      </c>
      <c r="E27" s="6">
        <f>30*18*12+$B$23</f>
        <v/>
      </c>
      <c r="F27" s="6">
        <f>30*20*12+$B$23</f>
        <v/>
      </c>
      <c r="G27" s="6">
        <f>30*22*12+$B$23</f>
        <v/>
      </c>
      <c r="H27" s="6">
        <f>30*25*12+$B$23</f>
        <v/>
      </c>
    </row>
    <row r="28">
      <c r="A28" s="37" t="n">
        <v>40</v>
      </c>
      <c r="B28" s="6">
        <f>40*13*12+$B$23</f>
        <v/>
      </c>
      <c r="C28" s="6">
        <f>40*15*12+$B$23</f>
        <v/>
      </c>
      <c r="D28" s="6">
        <f>40*17*12+$B$23</f>
        <v/>
      </c>
      <c r="E28" s="6">
        <f>40*18*12+$B$23</f>
        <v/>
      </c>
      <c r="F28" s="6">
        <f>40*20*12+$B$23</f>
        <v/>
      </c>
      <c r="G28" s="6">
        <f>40*22*12+$B$23</f>
        <v/>
      </c>
      <c r="H28" s="6">
        <f>40*25*12+$B$23</f>
        <v/>
      </c>
    </row>
    <row r="29">
      <c r="A29" s="38" t="n">
        <v>50</v>
      </c>
      <c r="B29" s="6">
        <f>50*13*12+$B$23</f>
        <v/>
      </c>
      <c r="C29" s="6">
        <f>50*15*12+$B$23</f>
        <v/>
      </c>
      <c r="D29" s="6">
        <f>50*17*12+$B$23</f>
        <v/>
      </c>
      <c r="E29" s="6">
        <f>50*18*12+$B$23</f>
        <v/>
      </c>
      <c r="F29" s="6">
        <f>50*20*12+$B$23</f>
        <v/>
      </c>
      <c r="G29" s="6">
        <f>50*22*12+$B$23</f>
        <v/>
      </c>
      <c r="H29" s="6">
        <f>50*25*12+$B$23</f>
        <v/>
      </c>
    </row>
    <row r="30">
      <c r="A30" s="37" t="n">
        <v>60</v>
      </c>
      <c r="B30" s="6">
        <f>60*13*12+$B$23</f>
        <v/>
      </c>
      <c r="C30" s="6">
        <f>60*15*12+$B$23</f>
        <v/>
      </c>
      <c r="D30" s="6">
        <f>60*17*12+$B$23</f>
        <v/>
      </c>
      <c r="E30" s="6">
        <f>60*18*12+$B$23</f>
        <v/>
      </c>
      <c r="F30" s="6">
        <f>60*20*12+$B$23</f>
        <v/>
      </c>
      <c r="G30" s="6">
        <f>60*22*12+$B$23</f>
        <v/>
      </c>
      <c r="H30" s="6">
        <f>60*25*12+$B$23</f>
        <v/>
      </c>
    </row>
    <row r="31">
      <c r="A31" s="38" t="n">
        <v>70</v>
      </c>
      <c r="B31" s="6">
        <f>70*13*12+$B$23</f>
        <v/>
      </c>
      <c r="C31" s="6">
        <f>70*15*12+$B$23</f>
        <v/>
      </c>
      <c r="D31" s="6">
        <f>70*17*12+$B$23</f>
        <v/>
      </c>
      <c r="E31" s="6">
        <f>70*18*12+$B$23</f>
        <v/>
      </c>
      <c r="F31" s="6">
        <f>70*20*12+$B$23</f>
        <v/>
      </c>
      <c r="G31" s="6">
        <f>70*22*12+$B$23</f>
        <v/>
      </c>
      <c r="H31" s="6">
        <f>70*25*12+$B$23</f>
        <v/>
      </c>
    </row>
    <row r="32">
      <c r="A32" s="37" t="n">
        <v>80</v>
      </c>
      <c r="B32" s="6">
        <f>80*13*12+$B$23</f>
        <v/>
      </c>
      <c r="C32" s="6">
        <f>80*15*12+$B$23</f>
        <v/>
      </c>
      <c r="D32" s="6">
        <f>80*17*12+$B$23</f>
        <v/>
      </c>
      <c r="E32" s="6">
        <f>80*18*12+$B$23</f>
        <v/>
      </c>
      <c r="F32" s="6">
        <f>80*20*12+$B$23</f>
        <v/>
      </c>
      <c r="G32" s="6">
        <f>80*22*12+$B$23</f>
        <v/>
      </c>
      <c r="H32" s="6">
        <f>80*25*12+$B$23</f>
        <v/>
      </c>
    </row>
    <row r="36">
      <c r="A36" s="3" t="inlineStr">
        <is>
          <t>【分析③】3シナリオ営業利益比較（Year1〜3）</t>
        </is>
      </c>
    </row>
    <row r="37">
      <c r="A37" s="4" t="inlineStr">
        <is>
          <t>シナリオ</t>
        </is>
      </c>
      <c r="B37" s="4" t="inlineStr">
        <is>
          <t>Year1売上</t>
        </is>
      </c>
      <c r="C37" s="4" t="inlineStr">
        <is>
          <t>Year1営業利益</t>
        </is>
      </c>
      <c r="D37" s="4" t="inlineStr">
        <is>
          <t>Year2売上</t>
        </is>
      </c>
      <c r="E37" s="4" t="inlineStr">
        <is>
          <t>Year2営業利益</t>
        </is>
      </c>
      <c r="F37" s="4" t="inlineStr">
        <is>
          <t>Year3売上</t>
        </is>
      </c>
      <c r="G37" s="4" t="inlineStr">
        <is>
          <t>Year3営業利益</t>
        </is>
      </c>
    </row>
    <row r="38">
      <c r="A38" s="22" t="inlineStr">
        <is>
          <t>楽観</t>
        </is>
      </c>
      <c r="B38" s="39" t="n">
        <v>2886</v>
      </c>
      <c r="C38" s="39" t="n">
        <v>-60</v>
      </c>
      <c r="D38" s="39" t="n">
        <v>20160</v>
      </c>
      <c r="E38" s="39" t="n">
        <v>8100</v>
      </c>
      <c r="F38" s="39" t="n">
        <v>66920</v>
      </c>
      <c r="G38" s="39" t="n">
        <v>29600</v>
      </c>
    </row>
    <row r="39">
      <c r="A39" s="9" t="inlineStr">
        <is>
          <t>中央値（ベース）</t>
        </is>
      </c>
      <c r="B39" s="10">
        <f>PL（損益計算書）!B8</f>
        <v/>
      </c>
      <c r="C39" s="10">
        <f>PL（損益計算書）!B32</f>
        <v/>
      </c>
      <c r="D39" s="10">
        <f>PL（損益計算書）!C8</f>
        <v/>
      </c>
      <c r="E39" s="10">
        <f>PL（損益計算書）!C32</f>
        <v/>
      </c>
      <c r="F39" s="10">
        <f>PL（損益計算書）!D8</f>
        <v/>
      </c>
      <c r="G39" s="10">
        <f>PL（損益計算書）!D32</f>
        <v/>
      </c>
    </row>
    <row r="40">
      <c r="A40" s="27" t="inlineStr">
        <is>
          <t>保守</t>
        </is>
      </c>
      <c r="B40" s="40" t="n">
        <v>1554</v>
      </c>
      <c r="C40" s="40" t="n">
        <v>-240</v>
      </c>
      <c r="D40" s="40" t="n">
        <v>7920</v>
      </c>
      <c r="E40" s="40" t="n">
        <v>1350</v>
      </c>
      <c r="F40" s="40" t="n">
        <v>28680</v>
      </c>
      <c r="G40" s="40" t="n">
        <v>7400</v>
      </c>
    </row>
    <row r="42">
      <c r="A42" s="32" t="inlineStr">
        <is>
          <t>楽観：FDE採用×1.3倍・B2B契約×1.3倍    保守：FDE採用×0.7倍・B2B契約×0.55倍</t>
        </is>
      </c>
    </row>
  </sheetData>
  <mergeCells count="8">
    <mergeCell ref="A4:H4"/>
    <mergeCell ref="A7:H7"/>
    <mergeCell ref="A2:H2"/>
    <mergeCell ref="A42:H42"/>
    <mergeCell ref="A19:H19"/>
    <mergeCell ref="A36:H36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2026-03-11T04:32:52Z</dcterms:created>
  <dcterms:modified xsi:type="dcterms:W3CDTF">2026-03-11T04:32:52Z</dcterms:modified>
</cp:coreProperties>
</file>