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年間PL" sheetId="1" state="visible" r:id="rId1"/>
  </sheets>
  <definedNames>
    <definedName name="_xlnm.Print_Titles" localSheetId="0">'3年間PL'!$1:$3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万円"/>
  </numFmts>
  <fonts count="9">
    <font>
      <name val="Calibri"/>
      <family val="2"/>
      <color theme="1"/>
      <sz val="11"/>
      <scheme val="minor"/>
    </font>
    <font>
      <name val="Meiryo UI"/>
      <b val="1"/>
      <sz val="14"/>
    </font>
    <font>
      <name val="Meiryo UI"/>
      <b val="1"/>
      <color rgb="00FFFFFF"/>
      <sz val="14"/>
    </font>
    <font>
      <name val="Meiryo UI"/>
      <sz val="9"/>
    </font>
    <font>
      <name val="Meiryo UI"/>
      <i val="1"/>
      <sz val="9"/>
    </font>
    <font>
      <name val="Meiryo UI"/>
      <b val="1"/>
      <sz val="10"/>
    </font>
    <font>
      <name val="Meiryo UI"/>
      <b val="1"/>
      <color rgb="00FFFFFF"/>
      <sz val="10"/>
    </font>
    <font>
      <name val="Meiryo UI"/>
      <sz val="10"/>
    </font>
    <font>
      <name val="Meiryo UI"/>
      <i val="1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DAEEF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 wrapText="1"/>
    </xf>
    <xf numFmtId="0" fontId="6" fillId="4" borderId="0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1" pivotButton="0" quotePrefix="0" xfId="0"/>
    <xf numFmtId="3" fontId="7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9" fontId="8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3" fontId="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3" fontId="5" fillId="10" borderId="1" applyAlignment="1" pivotButton="0" quotePrefix="0" xfId="0">
      <alignment horizontal="left" vertical="center" wrapText="1"/>
    </xf>
    <xf numFmtId="3" fontId="5" fillId="11" borderId="1" applyAlignment="1" pivotButton="0" quotePrefix="0" xfId="0">
      <alignment horizontal="left" vertical="center" wrapText="1"/>
    </xf>
    <xf numFmtId="3" fontId="8" fillId="0" borderId="1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center" vertical="center" wrapText="1"/>
    </xf>
    <xf numFmtId="164" fontId="7" fillId="1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center" vertical="center" wrapText="1"/>
    </xf>
    <xf numFmtId="164" fontId="7" fillId="11" borderId="1" applyAlignment="1" pivotButton="0" quotePrefix="0" xfId="0">
      <alignment horizontal="left" vertical="center" wrapText="1"/>
    </xf>
    <xf numFmtId="0" fontId="7" fillId="7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0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UNLID 3年間損益計算書（P&amp;L）</t>
        </is>
      </c>
    </row>
    <row r="2">
      <c r="A2" s="2" t="inlineStr">
        <is>
          <t>作成日：2026年3月　｜　前提：v3.0事業戦略レポートに基づく</t>
        </is>
      </c>
    </row>
    <row r="3">
      <c r="A3" s="3" t="inlineStr">
        <is>
          <t>単位：万円（税引前）</t>
        </is>
      </c>
    </row>
    <row r="5">
      <c r="A5" s="4" t="inlineStr">
        <is>
          <t>前提条件（シナリオ：中央値ベース）</t>
        </is>
      </c>
    </row>
    <row r="6">
      <c r="A6" s="5" t="inlineStr"/>
      <c r="B6" s="5" t="inlineStr">
        <is>
          <t>Year1（フェーズ1）</t>
        </is>
      </c>
      <c r="C6" s="5" t="inlineStr">
        <is>
          <t>Year2（フェーズ2）</t>
        </is>
      </c>
      <c r="D6" s="5" t="inlineStr">
        <is>
          <t>Year3（フェーズ3）</t>
        </is>
      </c>
    </row>
    <row r="7">
      <c r="A7" s="6" t="inlineStr">
        <is>
          <t>FDE正社員数（期末）</t>
        </is>
      </c>
      <c r="B7" s="7" t="inlineStr">
        <is>
          <t>2名</t>
        </is>
      </c>
      <c r="C7" s="7" t="inlineStr">
        <is>
          <t>10名</t>
        </is>
      </c>
      <c r="D7" s="7" t="inlineStr">
        <is>
          <t>32名</t>
        </is>
      </c>
    </row>
    <row r="8">
      <c r="A8" s="6" t="inlineStr">
        <is>
          <t>B2B契約企業数（期末）</t>
        </is>
      </c>
      <c r="B8" s="7" t="inlineStr">
        <is>
          <t>10社</t>
        </is>
      </c>
      <c r="C8" s="7" t="inlineStr">
        <is>
          <t>50社</t>
        </is>
      </c>
      <c r="D8" s="7" t="inlineStr">
        <is>
          <t>160社</t>
        </is>
      </c>
    </row>
    <row r="9">
      <c r="A9" s="6" t="inlineStr">
        <is>
          <t>FDE受託平均月額</t>
        </is>
      </c>
      <c r="B9" s="7" t="inlineStr">
        <is>
          <t>15万円</t>
        </is>
      </c>
      <c r="C9" s="7" t="inlineStr">
        <is>
          <t>18万円</t>
        </is>
      </c>
      <c r="D9" s="7" t="inlineStr">
        <is>
          <t>20万円</t>
        </is>
      </c>
    </row>
    <row r="10">
      <c r="A10" s="6" t="inlineStr">
        <is>
          <t>副業ワーカー数（累計）</t>
        </is>
      </c>
      <c r="B10" s="7" t="inlineStr">
        <is>
          <t>30名</t>
        </is>
      </c>
      <c r="C10" s="7" t="inlineStr">
        <is>
          <t>300名</t>
        </is>
      </c>
      <c r="D10" s="7" t="inlineStr">
        <is>
          <t>3000名</t>
        </is>
      </c>
    </row>
    <row r="11">
      <c r="A11" s="6" t="inlineStr">
        <is>
          <t>完遂ログ累計件数</t>
        </is>
      </c>
      <c r="B11" s="7" t="inlineStr">
        <is>
          <t>60件</t>
        </is>
      </c>
      <c r="C11" s="7" t="inlineStr">
        <is>
          <t>400件</t>
        </is>
      </c>
      <c r="D11" s="7" t="inlineStr">
        <is>
          <t>1500件</t>
        </is>
      </c>
    </row>
    <row r="12">
      <c r="A12" s="6" t="inlineStr">
        <is>
          <t>有料職業紹介業</t>
        </is>
      </c>
      <c r="B12" s="7" t="inlineStr">
        <is>
          <t>未取得→年中取得</t>
        </is>
      </c>
      <c r="C12" s="7" t="inlineStr">
        <is>
          <t>本格運用</t>
        </is>
      </c>
      <c r="D12" s="7" t="inlineStr">
        <is>
          <t>本格運用</t>
        </is>
      </c>
    </row>
    <row r="14">
      <c r="A14" s="4" t="inlineStr">
        <is>
          <t>損益計算書</t>
        </is>
      </c>
    </row>
    <row r="15">
      <c r="A15" s="5" t="inlineStr">
        <is>
          <t>項目</t>
        </is>
      </c>
      <c r="B15" s="5" t="inlineStr">
        <is>
          <t>Year1</t>
        </is>
      </c>
      <c r="C15" s="5" t="inlineStr">
        <is>
          <t>Year2</t>
        </is>
      </c>
      <c r="D15" s="5" t="inlineStr">
        <is>
          <t>Year3</t>
        </is>
      </c>
    </row>
    <row r="16">
      <c r="A16" s="8" t="inlineStr">
        <is>
          <t>【売上高】</t>
        </is>
      </c>
      <c r="B16" s="9" t="n"/>
      <c r="C16" s="9" t="n"/>
      <c r="D16" s="9" t="n"/>
    </row>
    <row r="17">
      <c r="A17" s="6" t="inlineStr">
        <is>
          <t xml:space="preserve">  B2B受託収益（フラクショナルFDE）</t>
        </is>
      </c>
      <c r="B17" s="10" t="n">
        <v>1800</v>
      </c>
      <c r="C17" s="10" t="n">
        <v>10800</v>
      </c>
      <c r="D17" s="10" t="n">
        <v>38400</v>
      </c>
    </row>
    <row r="18">
      <c r="A18" s="11" t="inlineStr">
        <is>
          <t xml:space="preserve">    └ 計算根拠</t>
        </is>
      </c>
      <c r="B18" s="12" t="inlineStr">
        <is>
          <t>10社×15万×12ヶ月</t>
        </is>
      </c>
      <c r="C18" s="12" t="inlineStr">
        <is>
          <t>50社×18万×12ヶ月</t>
        </is>
      </c>
      <c r="D18" s="12" t="inlineStr">
        <is>
          <t>160社×20万×12ヶ月</t>
        </is>
      </c>
    </row>
    <row r="19">
      <c r="A19" s="6" t="inlineStr">
        <is>
          <t xml:space="preserve">  人材紹介フィー（スカウト採用成功報酬）</t>
        </is>
      </c>
      <c r="B19" s="10" t="n">
        <v>420</v>
      </c>
      <c r="C19" s="10" t="n">
        <v>2800</v>
      </c>
      <c r="D19" s="10" t="n">
        <v>7000</v>
      </c>
    </row>
    <row r="20">
      <c r="A20" s="11" t="inlineStr">
        <is>
          <t xml:space="preserve">    └ 計算根拠</t>
        </is>
      </c>
      <c r="B20" s="12" t="inlineStr">
        <is>
          <t>3件×140万円</t>
        </is>
      </c>
      <c r="C20" s="12" t="inlineStr">
        <is>
          <t>20件×140万円</t>
        </is>
      </c>
      <c r="D20" s="12" t="inlineStr">
        <is>
          <t>50件×140万円</t>
        </is>
      </c>
    </row>
    <row r="21">
      <c r="A21" s="6" t="inlineStr">
        <is>
          <t xml:space="preserve">  プロジェクト型受託（スポット案件）</t>
        </is>
      </c>
      <c r="B21" s="10" t="n">
        <v>0</v>
      </c>
      <c r="C21" s="10" t="n">
        <v>800</v>
      </c>
      <c r="D21" s="10" t="n">
        <v>2400</v>
      </c>
    </row>
    <row r="22">
      <c r="A22" s="11" t="inlineStr">
        <is>
          <t xml:space="preserve">    └ 計算根拠</t>
        </is>
      </c>
      <c r="B22" s="12" t="inlineStr">
        <is>
          <t>実績なし</t>
        </is>
      </c>
      <c r="C22" s="12" t="inlineStr">
        <is>
          <t>5件×160万円</t>
        </is>
      </c>
      <c r="D22" s="12" t="inlineStr">
        <is>
          <t>15件×160万円</t>
        </is>
      </c>
    </row>
    <row r="23">
      <c r="A23" s="13" t="inlineStr">
        <is>
          <t>売上合計</t>
        </is>
      </c>
      <c r="B23" s="14">
        <f>B17+B19+B21</f>
        <v/>
      </c>
      <c r="C23" s="14">
        <f>C17+C19+C21</f>
        <v/>
      </c>
      <c r="D23" s="14">
        <f>D17+D19+D21</f>
        <v/>
      </c>
    </row>
    <row r="24">
      <c r="A24" s="15" t="inlineStr">
        <is>
          <t>前年比成長率</t>
        </is>
      </c>
      <c r="B24" s="16" t="inlineStr">
        <is>
          <t>—</t>
        </is>
      </c>
      <c r="C24" s="17">
        <f>(C23-B23)/B23</f>
        <v/>
      </c>
      <c r="D24" s="17">
        <f>(D23-C23)/C23</f>
        <v/>
      </c>
    </row>
    <row r="25">
      <c r="A25" s="9" t="n"/>
      <c r="B25" s="9" t="n"/>
      <c r="C25" s="9" t="n"/>
      <c r="D25" s="9" t="n"/>
    </row>
    <row r="26">
      <c r="A26" s="8" t="inlineStr">
        <is>
          <t>【売上原価（変動費）】</t>
        </is>
      </c>
      <c r="B26" s="9" t="n"/>
      <c r="C26" s="9" t="n"/>
      <c r="D26" s="9" t="n"/>
    </row>
    <row r="27">
      <c r="A27" s="6" t="inlineStr">
        <is>
          <t xml:space="preserve">  副業ワーカー報酬</t>
        </is>
      </c>
      <c r="B27" s="10" t="n">
        <v>200</v>
      </c>
      <c r="C27" s="10" t="n">
        <v>1200</v>
      </c>
      <c r="D27" s="10" t="n">
        <v>4000</v>
      </c>
    </row>
    <row r="28">
      <c r="A28" s="11" t="inlineStr">
        <is>
          <t xml:space="preserve">    └ 計算根拠</t>
        </is>
      </c>
      <c r="B28" s="12" t="inlineStr">
        <is>
          <t>売上の9%</t>
        </is>
      </c>
      <c r="C28" s="12" t="inlineStr">
        <is>
          <t>売上の8%</t>
        </is>
      </c>
      <c r="D28" s="12" t="inlineStr">
        <is>
          <t>売上の8%</t>
        </is>
      </c>
    </row>
    <row r="29">
      <c r="A29" s="6" t="inlineStr">
        <is>
          <t xml:space="preserve">  FDE外注・業務委託費（スポット補完）</t>
        </is>
      </c>
      <c r="B29" s="10" t="n">
        <v>0</v>
      </c>
      <c r="C29" s="10" t="n">
        <v>200</v>
      </c>
      <c r="D29" s="10" t="n">
        <v>600</v>
      </c>
    </row>
    <row r="30">
      <c r="A30" s="11" t="inlineStr">
        <is>
          <t xml:space="preserve">    └ 計算根拠</t>
        </is>
      </c>
      <c r="B30" s="12" t="inlineStr">
        <is>
          <t>—</t>
        </is>
      </c>
      <c r="C30" s="12" t="inlineStr">
        <is>
          <t>スポット案件の外注</t>
        </is>
      </c>
      <c r="D30" s="12" t="inlineStr">
        <is>
          <t>スポット案件の外注</t>
        </is>
      </c>
    </row>
    <row r="31">
      <c r="A31" s="18" t="inlineStr">
        <is>
          <t>売上原価合計</t>
        </is>
      </c>
      <c r="B31" s="19">
        <f>B27+B29</f>
        <v/>
      </c>
      <c r="C31" s="19">
        <f>C27+C29</f>
        <v/>
      </c>
      <c r="D31" s="19">
        <f>D27+D29</f>
        <v/>
      </c>
    </row>
    <row r="32">
      <c r="A32" s="9" t="n"/>
      <c r="B32" s="9" t="n"/>
      <c r="C32" s="9" t="n"/>
      <c r="D32" s="9" t="n"/>
    </row>
    <row r="33">
      <c r="A33" s="20" t="inlineStr">
        <is>
          <t>売上総利益（粗利）</t>
        </is>
      </c>
      <c r="B33" s="21">
        <f>B23-B31</f>
        <v/>
      </c>
      <c r="C33" s="21">
        <f>C23-C31</f>
        <v/>
      </c>
      <c r="D33" s="21">
        <f>D23-D31</f>
        <v/>
      </c>
    </row>
    <row r="34">
      <c r="A34" s="15" t="inlineStr">
        <is>
          <t>粗利率</t>
        </is>
      </c>
      <c r="B34" s="17">
        <f>B33/B23</f>
        <v/>
      </c>
      <c r="C34" s="17">
        <f>C33/C23</f>
        <v/>
      </c>
      <c r="D34" s="17">
        <f>D33/D23</f>
        <v/>
      </c>
    </row>
    <row r="35">
      <c r="A35" s="9" t="n"/>
      <c r="B35" s="9" t="n"/>
      <c r="C35" s="9" t="n"/>
      <c r="D35" s="9" t="n"/>
    </row>
    <row r="36">
      <c r="A36" s="8" t="inlineStr">
        <is>
          <t>【販売費及び一般管理費（固定費）】</t>
        </is>
      </c>
      <c r="B36" s="9" t="n"/>
      <c r="C36" s="9" t="n"/>
      <c r="D36" s="9" t="n"/>
    </row>
    <row r="37">
      <c r="A37" s="6" t="inlineStr">
        <is>
          <t xml:space="preserve">  FDE正社員人件費（給与・社保）</t>
        </is>
      </c>
      <c r="B37" s="10" t="n">
        <v>1080</v>
      </c>
      <c r="C37" s="10" t="n">
        <v>4800</v>
      </c>
      <c r="D37" s="10" t="n">
        <v>16200</v>
      </c>
    </row>
    <row r="38">
      <c r="A38" s="11" t="inlineStr">
        <is>
          <t xml:space="preserve">    └ 計算根拠</t>
        </is>
      </c>
      <c r="B38" s="12" t="inlineStr">
        <is>
          <t>2名×月45万×12ヶ月</t>
        </is>
      </c>
      <c r="C38" s="12" t="inlineStr">
        <is>
          <t>10名×月40万×12ヶ月</t>
        </is>
      </c>
      <c r="D38" s="12" t="inlineStr">
        <is>
          <t>32名×月42万×12ヶ月</t>
        </is>
      </c>
    </row>
    <row r="39">
      <c r="A39" s="6" t="inlineStr">
        <is>
          <t xml:space="preserve">  創業者報酬</t>
        </is>
      </c>
      <c r="B39" s="10" t="n">
        <v>360</v>
      </c>
      <c r="C39" s="10" t="n">
        <v>600</v>
      </c>
      <c r="D39" s="10" t="n">
        <v>840</v>
      </c>
    </row>
    <row r="40">
      <c r="A40" s="11" t="inlineStr">
        <is>
          <t xml:space="preserve">    └ 計算根拠</t>
        </is>
      </c>
      <c r="B40" s="12" t="inlineStr">
        <is>
          <t>月30万×12ヶ月</t>
        </is>
      </c>
      <c r="C40" s="12" t="inlineStr">
        <is>
          <t>月50万×12ヶ月</t>
        </is>
      </c>
      <c r="D40" s="12" t="inlineStr">
        <is>
          <t>月70万×12ヶ月</t>
        </is>
      </c>
    </row>
    <row r="41">
      <c r="A41" s="6" t="inlineStr">
        <is>
          <t xml:space="preserve">  管理・営業スタッフ人件費</t>
        </is>
      </c>
      <c r="B41" s="10" t="n">
        <v>0</v>
      </c>
      <c r="C41" s="10" t="n">
        <v>1080</v>
      </c>
      <c r="D41" s="10" t="n">
        <v>3360</v>
      </c>
    </row>
    <row r="42">
      <c r="A42" s="11" t="inlineStr">
        <is>
          <t xml:space="preserve">    └ 計算根拠</t>
        </is>
      </c>
      <c r="B42" s="12" t="inlineStr">
        <is>
          <t>なし（創業者が担当）</t>
        </is>
      </c>
      <c r="C42" s="12" t="inlineStr">
        <is>
          <t>3名×月30万×12</t>
        </is>
      </c>
      <c r="D42" s="12" t="inlineStr">
        <is>
          <t>8名×月35万×12</t>
        </is>
      </c>
    </row>
    <row r="43">
      <c r="A43" s="6" t="inlineStr">
        <is>
          <t xml:space="preserve">  オフィス・ツール・インフラ費</t>
        </is>
      </c>
      <c r="B43" s="10" t="n">
        <v>180</v>
      </c>
      <c r="C43" s="10" t="n">
        <v>360</v>
      </c>
      <c r="D43" s="10" t="n">
        <v>600</v>
      </c>
    </row>
    <row r="44">
      <c r="A44" s="11" t="inlineStr">
        <is>
          <t xml:space="preserve">    └ 計算根拠</t>
        </is>
      </c>
      <c r="B44" s="12" t="inlineStr">
        <is>
          <t>月15万×12ヶ月</t>
        </is>
      </c>
      <c r="C44" s="12" t="inlineStr">
        <is>
          <t>月30万×12ヶ月</t>
        </is>
      </c>
      <c r="D44" s="12" t="inlineStr">
        <is>
          <t>月50万×12ヶ月</t>
        </is>
      </c>
    </row>
    <row r="45">
      <c r="A45" s="6" t="inlineStr">
        <is>
          <t xml:space="preserve">  マーケティング・営業費</t>
        </is>
      </c>
      <c r="B45" s="10" t="n">
        <v>120</v>
      </c>
      <c r="C45" s="10" t="n">
        <v>360</v>
      </c>
      <c r="D45" s="10" t="n">
        <v>600</v>
      </c>
    </row>
    <row r="46">
      <c r="A46" s="11" t="inlineStr">
        <is>
          <t xml:space="preserve">    └ 計算根拠</t>
        </is>
      </c>
      <c r="B46" s="12" t="inlineStr">
        <is>
          <t>月10万×12ヶ月</t>
        </is>
      </c>
      <c r="C46" s="12" t="inlineStr">
        <is>
          <t>月30万×12ヶ月</t>
        </is>
      </c>
      <c r="D46" s="12" t="inlineStr">
        <is>
          <t>月50万×12ヶ月</t>
        </is>
      </c>
    </row>
    <row r="47">
      <c r="A47" s="6" t="inlineStr">
        <is>
          <t xml:space="preserve">  法務・許認可・顧問弁護士</t>
        </is>
      </c>
      <c r="B47" s="10" t="n">
        <v>200</v>
      </c>
      <c r="C47" s="10" t="n">
        <v>300</v>
      </c>
      <c r="D47" s="10" t="n">
        <v>400</v>
      </c>
    </row>
    <row r="48">
      <c r="A48" s="11" t="inlineStr">
        <is>
          <t xml:space="preserve">    └ 計算根拠</t>
        </is>
      </c>
      <c r="B48" s="12" t="inlineStr">
        <is>
          <t>労働法精査・職業紹介許可申請</t>
        </is>
      </c>
      <c r="C48" s="12" t="inlineStr">
        <is>
          <t>継続顧問</t>
        </is>
      </c>
      <c r="D48" s="12" t="inlineStr">
        <is>
          <t>継続顧問</t>
        </is>
      </c>
    </row>
    <row r="49">
      <c r="A49" s="6" t="inlineStr">
        <is>
          <t xml:space="preserve">  採用費（FDE・スタッフ）</t>
        </is>
      </c>
      <c r="B49" s="10" t="n">
        <v>0</v>
      </c>
      <c r="C49" s="10" t="n">
        <v>500</v>
      </c>
      <c r="D49" s="10" t="n">
        <v>1500</v>
      </c>
    </row>
    <row r="50">
      <c r="A50" s="11" t="inlineStr">
        <is>
          <t xml:space="preserve">    └ 計算根拠</t>
        </is>
      </c>
      <c r="B50" s="12" t="inlineStr">
        <is>
          <t>リファラルのみ</t>
        </is>
      </c>
      <c r="C50" s="12" t="inlineStr">
        <is>
          <t>FDE採用8名分</t>
        </is>
      </c>
      <c r="D50" s="12" t="inlineStr">
        <is>
          <t>FDE採用22名分</t>
        </is>
      </c>
    </row>
    <row r="51">
      <c r="A51" s="6" t="inlineStr">
        <is>
          <t xml:space="preserve">  システム開発・完遂ログプラットフォーム</t>
        </is>
      </c>
      <c r="B51" s="10" t="n">
        <v>100</v>
      </c>
      <c r="C51" s="10" t="n">
        <v>300</v>
      </c>
      <c r="D51" s="10" t="n">
        <v>800</v>
      </c>
    </row>
    <row r="52">
      <c r="A52" s="11" t="inlineStr">
        <is>
          <t xml:space="preserve">    └ 計算根拠</t>
        </is>
      </c>
      <c r="B52" s="12" t="inlineStr">
        <is>
          <t>PoC・ノーコード</t>
        </is>
      </c>
      <c r="C52" s="12" t="inlineStr">
        <is>
          <t>本格開発</t>
        </is>
      </c>
      <c r="D52" s="12" t="inlineStr">
        <is>
          <t>スケール対応</t>
        </is>
      </c>
    </row>
    <row r="53">
      <c r="A53" s="6" t="inlineStr">
        <is>
          <t xml:space="preserve">  その他（交通・研修・保険等）</t>
        </is>
      </c>
      <c r="B53" s="10" t="n">
        <v>100</v>
      </c>
      <c r="C53" s="10" t="n">
        <v>200</v>
      </c>
      <c r="D53" s="10" t="n">
        <v>400</v>
      </c>
    </row>
    <row r="54">
      <c r="A54" s="18" t="inlineStr">
        <is>
          <t>販管費合計</t>
        </is>
      </c>
      <c r="B54" s="19">
        <f>B37+B39+B41+B43+B45+B47+B49+B51+B53</f>
        <v/>
      </c>
      <c r="C54" s="19">
        <f>C37+C39+C41+C43+C45+C47+C49+C51+C53</f>
        <v/>
      </c>
      <c r="D54" s="19">
        <f>D37+D39+D41+D43+D45+D47+D49+D51+D53</f>
        <v/>
      </c>
    </row>
    <row r="55">
      <c r="A55" s="9" t="n"/>
      <c r="B55" s="9" t="n"/>
      <c r="C55" s="9" t="n"/>
      <c r="D55" s="9" t="n"/>
    </row>
    <row r="56">
      <c r="A56" s="20" t="inlineStr">
        <is>
          <t>営業利益（EBIT）</t>
        </is>
      </c>
      <c r="B56" s="22">
        <f>B33-B54</f>
        <v/>
      </c>
      <c r="C56" s="21">
        <f>C33-C54</f>
        <v/>
      </c>
      <c r="D56" s="21">
        <f>D33-D54</f>
        <v/>
      </c>
    </row>
    <row r="57">
      <c r="A57" s="15" t="inlineStr">
        <is>
          <t>営業利益率</t>
        </is>
      </c>
      <c r="B57" s="17">
        <f>B56/B23</f>
        <v/>
      </c>
      <c r="C57" s="17">
        <f>C56/C23</f>
        <v/>
      </c>
      <c r="D57" s="17">
        <f>D56/D23</f>
        <v/>
      </c>
    </row>
    <row r="58">
      <c r="A58" s="9" t="n"/>
      <c r="B58" s="9" t="n"/>
      <c r="C58" s="9" t="n"/>
      <c r="D58" s="9" t="n"/>
    </row>
    <row r="59">
      <c r="A59" s="15" t="inlineStr">
        <is>
          <t xml:space="preserve">  減価償却費（参考値）</t>
        </is>
      </c>
      <c r="B59" s="23" t="n">
        <v>20</v>
      </c>
      <c r="C59" s="23" t="n">
        <v>80</v>
      </c>
      <c r="D59" s="23" t="n">
        <v>200</v>
      </c>
    </row>
    <row r="60">
      <c r="A60" s="20" t="inlineStr">
        <is>
          <t>EBITDA</t>
        </is>
      </c>
      <c r="B60" s="21">
        <f>B56+B59</f>
        <v/>
      </c>
      <c r="C60" s="21">
        <f>C56+C59</f>
        <v/>
      </c>
      <c r="D60" s="21">
        <f>D56+D59</f>
        <v/>
      </c>
    </row>
    <row r="61">
      <c r="A61" s="15" t="inlineStr">
        <is>
          <t>EBITDAマージン</t>
        </is>
      </c>
      <c r="B61" s="17">
        <f>B60/B23</f>
        <v/>
      </c>
      <c r="C61" s="17">
        <f>C60/C23</f>
        <v/>
      </c>
      <c r="D61" s="17">
        <f>D60/D23</f>
        <v/>
      </c>
    </row>
    <row r="62">
      <c r="A62" s="9" t="n"/>
      <c r="B62" s="9" t="n"/>
      <c r="C62" s="9" t="n"/>
      <c r="D62" s="9" t="n"/>
    </row>
    <row r="63">
      <c r="A63" s="6" t="inlineStr">
        <is>
          <t xml:space="preserve">  法人税等（実効税率30%想定）</t>
        </is>
      </c>
      <c r="B63" s="10">
        <f>IF(B56&gt;0,ROUND(B56*0.3,0),0)</f>
        <v/>
      </c>
      <c r="C63" s="10">
        <f>IF(C56&gt;0,ROUND(C56*0.3,0),0)</f>
        <v/>
      </c>
      <c r="D63" s="10">
        <f>IF(D56&gt;0,ROUND(D56*0.3,0),0)</f>
        <v/>
      </c>
    </row>
    <row r="64">
      <c r="A64" s="11" t="inlineStr">
        <is>
          <t xml:space="preserve">    └ 計算根拠</t>
        </is>
      </c>
      <c r="B64" s="12" t="inlineStr">
        <is>
          <t>赤字のため税なし</t>
        </is>
      </c>
      <c r="C64" s="12" t="inlineStr">
        <is>
          <t>EBIT×30%</t>
        </is>
      </c>
      <c r="D64" s="12" t="inlineStr">
        <is>
          <t>EBIT×30%</t>
        </is>
      </c>
    </row>
    <row r="65">
      <c r="A65" s="20" t="inlineStr">
        <is>
          <t>当期純利益</t>
        </is>
      </c>
      <c r="B65" s="22">
        <f>B56-B63</f>
        <v/>
      </c>
      <c r="C65" s="21">
        <f>C56-C63</f>
        <v/>
      </c>
      <c r="D65" s="21">
        <f>D56-D63</f>
        <v/>
      </c>
    </row>
    <row r="66">
      <c r="A66" s="15" t="inlineStr">
        <is>
          <t>純利益率</t>
        </is>
      </c>
      <c r="B66" s="17">
        <f>B65/B23</f>
        <v/>
      </c>
      <c r="C66" s="17">
        <f>C65/C23</f>
        <v/>
      </c>
      <c r="D66" s="17">
        <f>D65/D23</f>
        <v/>
      </c>
    </row>
    <row r="68">
      <c r="A68" s="4" t="inlineStr">
        <is>
          <t>四半期別売上推移（Year1）</t>
        </is>
      </c>
    </row>
    <row r="69">
      <c r="A69" s="5" t="inlineStr"/>
      <c r="B69" s="5" t="inlineStr">
        <is>
          <t>Q1（月1〜3）</t>
        </is>
      </c>
      <c r="C69" s="5" t="inlineStr">
        <is>
          <t>Q2（月4〜6）</t>
        </is>
      </c>
      <c r="D69" s="5" t="inlineStr">
        <is>
          <t>Q3（月7〜9）</t>
        </is>
      </c>
      <c r="E69" s="5" t="inlineStr">
        <is>
          <t>Q4（月10〜12）</t>
        </is>
      </c>
      <c r="F69" s="5" t="inlineStr">
        <is>
          <t>Year1合計</t>
        </is>
      </c>
    </row>
    <row r="70">
      <c r="A70" s="6" t="inlineStr">
        <is>
          <t>B2B受託</t>
        </is>
      </c>
      <c r="B70" s="10" t="n">
        <v>225</v>
      </c>
      <c r="C70" s="10" t="n">
        <v>360</v>
      </c>
      <c r="D70" s="10" t="n">
        <v>540</v>
      </c>
      <c r="E70" s="10" t="n">
        <v>675</v>
      </c>
      <c r="F70" s="14">
        <f>SUM(B70:E70)</f>
        <v/>
      </c>
    </row>
    <row r="71">
      <c r="A71" s="6" t="inlineStr">
        <is>
          <t>人材紹介フィー</t>
        </is>
      </c>
      <c r="B71" s="10" t="n">
        <v>0</v>
      </c>
      <c r="C71" s="10" t="n">
        <v>0</v>
      </c>
      <c r="D71" s="10" t="n">
        <v>140</v>
      </c>
      <c r="E71" s="10" t="n">
        <v>280</v>
      </c>
      <c r="F71" s="14">
        <f>SUM(B71:E71)</f>
        <v/>
      </c>
    </row>
    <row r="72">
      <c r="A72" s="6" t="inlineStr">
        <is>
          <t>プロジェクト型</t>
        </is>
      </c>
      <c r="B72" s="10" t="n">
        <v>0</v>
      </c>
      <c r="C72" s="10" t="n">
        <v>0</v>
      </c>
      <c r="D72" s="10" t="n">
        <v>0</v>
      </c>
      <c r="E72" s="10" t="n">
        <v>0</v>
      </c>
      <c r="F72" s="14">
        <f>SUM(B72:E72)</f>
        <v/>
      </c>
    </row>
    <row r="73">
      <c r="A73" s="13" t="inlineStr">
        <is>
          <t>売上合計</t>
        </is>
      </c>
      <c r="B73" s="14">
        <f>SUM(B70:B72)</f>
        <v/>
      </c>
      <c r="C73" s="14">
        <f>SUM(C70:C72)</f>
        <v/>
      </c>
      <c r="D73" s="14">
        <f>SUM(D70:D72)</f>
        <v/>
      </c>
      <c r="E73" s="14">
        <f>SUM(E70:E72)</f>
        <v/>
      </c>
      <c r="F73" s="14">
        <f>SUM(F70:F72)</f>
        <v/>
      </c>
    </row>
    <row r="75">
      <c r="A75" s="4" t="inlineStr">
        <is>
          <t>月次キャッシュフロー概算（Year1）</t>
        </is>
      </c>
    </row>
    <row r="76">
      <c r="A76" s="5" t="inlineStr">
        <is>
          <t>月</t>
        </is>
      </c>
      <c r="B76" s="5" t="inlineStr">
        <is>
          <t>売上（万円）</t>
        </is>
      </c>
      <c r="C76" s="5" t="inlineStr">
        <is>
          <t>人件費（万円）</t>
        </is>
      </c>
      <c r="D76" s="5" t="inlineStr">
        <is>
          <t>その他コスト（万円）</t>
        </is>
      </c>
      <c r="E76" s="5" t="inlineStr">
        <is>
          <t>月次CF（万円）</t>
        </is>
      </c>
      <c r="F76" s="5" t="inlineStr">
        <is>
          <t>累計CF（万円）</t>
        </is>
      </c>
    </row>
    <row r="77">
      <c r="A77" s="7" t="n">
        <v>1</v>
      </c>
      <c r="B77" s="10" t="n">
        <v>75</v>
      </c>
      <c r="C77" s="10" t="n">
        <v>120</v>
      </c>
      <c r="D77" s="10" t="n">
        <v>30</v>
      </c>
      <c r="E77" s="10">
        <f>B77-C77-D77</f>
        <v/>
      </c>
      <c r="F77" s="10">
        <f>E77</f>
        <v/>
      </c>
    </row>
    <row r="78">
      <c r="A78" s="7" t="n">
        <v>2</v>
      </c>
      <c r="B78" s="10" t="n">
        <v>75</v>
      </c>
      <c r="C78" s="10" t="n">
        <v>120</v>
      </c>
      <c r="D78" s="10" t="n">
        <v>30</v>
      </c>
      <c r="E78" s="10">
        <f>B78-C78-D78</f>
        <v/>
      </c>
      <c r="F78" s="10">
        <f>F77+E78</f>
        <v/>
      </c>
    </row>
    <row r="79">
      <c r="A79" s="7" t="n">
        <v>3</v>
      </c>
      <c r="B79" s="10" t="n">
        <v>75</v>
      </c>
      <c r="C79" s="10" t="n">
        <v>120</v>
      </c>
      <c r="D79" s="10" t="n">
        <v>30</v>
      </c>
      <c r="E79" s="10">
        <f>B79-C79-D79</f>
        <v/>
      </c>
      <c r="F79" s="10">
        <f>F78+E79</f>
        <v/>
      </c>
    </row>
    <row r="80">
      <c r="A80" s="7" t="n">
        <v>4</v>
      </c>
      <c r="B80" s="10" t="n">
        <v>120</v>
      </c>
      <c r="C80" s="10" t="n">
        <v>120</v>
      </c>
      <c r="D80" s="10" t="n">
        <v>30</v>
      </c>
      <c r="E80" s="10">
        <f>B80-C80-D80</f>
        <v/>
      </c>
      <c r="F80" s="10">
        <f>F79+E80</f>
        <v/>
      </c>
    </row>
    <row r="81">
      <c r="A81" s="7" t="n">
        <v>5</v>
      </c>
      <c r="B81" s="10" t="n">
        <v>120</v>
      </c>
      <c r="C81" s="10" t="n">
        <v>120</v>
      </c>
      <c r="D81" s="10" t="n">
        <v>30</v>
      </c>
      <c r="E81" s="10">
        <f>B81-C81-D81</f>
        <v/>
      </c>
      <c r="F81" s="10">
        <f>F80+E81</f>
        <v/>
      </c>
    </row>
    <row r="82">
      <c r="A82" s="7" t="n">
        <v>6</v>
      </c>
      <c r="B82" s="10" t="n">
        <v>120</v>
      </c>
      <c r="C82" s="10" t="n">
        <v>120</v>
      </c>
      <c r="D82" s="10" t="n">
        <v>30</v>
      </c>
      <c r="E82" s="10">
        <f>B82-C82-D82</f>
        <v/>
      </c>
      <c r="F82" s="10">
        <f>F81+E82</f>
        <v/>
      </c>
    </row>
    <row r="83">
      <c r="A83" s="7" t="n">
        <v>7</v>
      </c>
      <c r="B83" s="10" t="n">
        <v>150</v>
      </c>
      <c r="C83" s="10" t="n">
        <v>160</v>
      </c>
      <c r="D83" s="10" t="n">
        <v>40</v>
      </c>
      <c r="E83" s="10">
        <f>B83-C83-D83</f>
        <v/>
      </c>
      <c r="F83" s="10">
        <f>F82+E83</f>
        <v/>
      </c>
    </row>
    <row r="84">
      <c r="A84" s="7" t="n">
        <v>8</v>
      </c>
      <c r="B84" s="10" t="n">
        <v>165</v>
      </c>
      <c r="C84" s="10" t="n">
        <v>160</v>
      </c>
      <c r="D84" s="10" t="n">
        <v>40</v>
      </c>
      <c r="E84" s="10">
        <f>B84-C84-D84</f>
        <v/>
      </c>
      <c r="F84" s="10">
        <f>F83+E84</f>
        <v/>
      </c>
    </row>
    <row r="85">
      <c r="A85" s="7" t="n">
        <v>9</v>
      </c>
      <c r="B85" s="10" t="n">
        <v>195</v>
      </c>
      <c r="C85" s="10" t="n">
        <v>160</v>
      </c>
      <c r="D85" s="10" t="n">
        <v>40</v>
      </c>
      <c r="E85" s="10">
        <f>B85-C85-D85</f>
        <v/>
      </c>
      <c r="F85" s="10">
        <f>F84+E85</f>
        <v/>
      </c>
    </row>
    <row r="86">
      <c r="A86" s="7" t="n">
        <v>10</v>
      </c>
      <c r="B86" s="10" t="n">
        <v>255</v>
      </c>
      <c r="C86" s="10" t="n">
        <v>180</v>
      </c>
      <c r="D86" s="10" t="n">
        <v>50</v>
      </c>
      <c r="E86" s="10">
        <f>B86-C86-D86</f>
        <v/>
      </c>
      <c r="F86" s="10">
        <f>F85+E86</f>
        <v/>
      </c>
    </row>
    <row r="87">
      <c r="A87" s="7" t="n">
        <v>11</v>
      </c>
      <c r="B87" s="10" t="n">
        <v>330</v>
      </c>
      <c r="C87" s="10" t="n">
        <v>180</v>
      </c>
      <c r="D87" s="10" t="n">
        <v>50</v>
      </c>
      <c r="E87" s="10">
        <f>B87-C87-D87</f>
        <v/>
      </c>
      <c r="F87" s="10">
        <f>F86+E87</f>
        <v/>
      </c>
    </row>
    <row r="88">
      <c r="A88" s="7" t="n">
        <v>12</v>
      </c>
      <c r="B88" s="10" t="n">
        <v>370</v>
      </c>
      <c r="C88" s="10" t="n">
        <v>180</v>
      </c>
      <c r="D88" s="10" t="n">
        <v>50</v>
      </c>
      <c r="E88" s="10">
        <f>B88-C88-D88</f>
        <v/>
      </c>
      <c r="F88" s="10">
        <f>F87+E88</f>
        <v/>
      </c>
    </row>
    <row r="89">
      <c r="A89" s="24" t="inlineStr">
        <is>
          <t>（注：Q1-Q2は初期クライアント開拓中。Q3以降から人材紹介フィーが発生）</t>
        </is>
      </c>
    </row>
    <row r="91">
      <c r="A91" s="4" t="inlineStr">
        <is>
          <t>KPI・マイルストーン</t>
        </is>
      </c>
    </row>
    <row r="92">
      <c r="A92" s="5" t="inlineStr">
        <is>
          <t>指標</t>
        </is>
      </c>
      <c r="B92" s="5" t="inlineStr">
        <is>
          <t>Year1目標</t>
        </is>
      </c>
      <c r="C92" s="5" t="inlineStr">
        <is>
          <t>Year2目標</t>
        </is>
      </c>
      <c r="D92" s="5" t="inlineStr">
        <is>
          <t>Year3目標</t>
        </is>
      </c>
    </row>
    <row r="93">
      <c r="A93" s="6" t="inlineStr">
        <is>
          <t>B2B契約企業数</t>
        </is>
      </c>
      <c r="B93" s="7" t="inlineStr">
        <is>
          <t>10社</t>
        </is>
      </c>
      <c r="C93" s="7" t="inlineStr">
        <is>
          <t>50社</t>
        </is>
      </c>
      <c r="D93" s="7" t="inlineStr">
        <is>
          <t>160社</t>
        </is>
      </c>
    </row>
    <row r="94">
      <c r="A94" s="6" t="inlineStr">
        <is>
          <t>B2B継続率（3ヶ月以上）</t>
        </is>
      </c>
      <c r="B94" s="7" t="inlineStr">
        <is>
          <t>60%以上</t>
        </is>
      </c>
      <c r="C94" s="7" t="inlineStr">
        <is>
          <t>70%以上</t>
        </is>
      </c>
      <c r="D94" s="7" t="inlineStr">
        <is>
          <t>80%以上</t>
        </is>
      </c>
    </row>
    <row r="95">
      <c r="A95" s="6" t="inlineStr">
        <is>
          <t>FDE正社員数</t>
        </is>
      </c>
      <c r="B95" s="7" t="inlineStr">
        <is>
          <t>2名</t>
        </is>
      </c>
      <c r="C95" s="7" t="inlineStr">
        <is>
          <t>10名</t>
        </is>
      </c>
      <c r="D95" s="7" t="inlineStr">
        <is>
          <t>32名</t>
        </is>
      </c>
    </row>
    <row r="96">
      <c r="A96" s="6" t="inlineStr">
        <is>
          <t>副業ワーカー月間アクティブ数</t>
        </is>
      </c>
      <c r="B96" s="7" t="inlineStr">
        <is>
          <t>20名</t>
        </is>
      </c>
      <c r="C96" s="7" t="inlineStr">
        <is>
          <t>150名</t>
        </is>
      </c>
      <c r="D96" s="7" t="inlineStr">
        <is>
          <t>1000名</t>
        </is>
      </c>
    </row>
    <row r="97">
      <c r="A97" s="6" t="inlineStr">
        <is>
          <t>月間完遂件数</t>
        </is>
      </c>
      <c r="B97" s="7" t="inlineStr">
        <is>
          <t>5件</t>
        </is>
      </c>
      <c r="C97" s="7" t="inlineStr">
        <is>
          <t>30件</t>
        </is>
      </c>
      <c r="D97" s="7" t="inlineStr">
        <is>
          <t>100件</t>
        </is>
      </c>
    </row>
    <row r="98">
      <c r="A98" s="6" t="inlineStr">
        <is>
          <t>完遂ログ累計</t>
        </is>
      </c>
      <c r="B98" s="7" t="inlineStr">
        <is>
          <t>60件</t>
        </is>
      </c>
      <c r="C98" s="7" t="inlineStr">
        <is>
          <t>400件</t>
        </is>
      </c>
      <c r="D98" s="7" t="inlineStr">
        <is>
          <t>1500件</t>
        </is>
      </c>
    </row>
    <row r="99">
      <c r="A99" s="6" t="inlineStr">
        <is>
          <t>人材紹介成立件数</t>
        </is>
      </c>
      <c r="B99" s="7" t="inlineStr">
        <is>
          <t>3件</t>
        </is>
      </c>
      <c r="C99" s="7" t="inlineStr">
        <is>
          <t>20件</t>
        </is>
      </c>
      <c r="D99" s="7" t="inlineStr">
        <is>
          <t>50件</t>
        </is>
      </c>
    </row>
    <row r="100">
      <c r="A100" s="6" t="inlineStr">
        <is>
          <t>3軸平均スコア</t>
        </is>
      </c>
      <c r="B100" s="7" t="inlineStr">
        <is>
          <t>3.5以上</t>
        </is>
      </c>
      <c r="C100" s="7" t="inlineStr">
        <is>
          <t>3.8以上</t>
        </is>
      </c>
      <c r="D100" s="7" t="inlineStr">
        <is>
          <t>4.0以上</t>
        </is>
      </c>
    </row>
    <row r="102">
      <c r="A102" s="4" t="inlineStr">
        <is>
          <t>損益感度分析（Year2）</t>
        </is>
      </c>
    </row>
    <row r="103">
      <c r="A103" s="5" t="inlineStr">
        <is>
          <t>シナリオ</t>
        </is>
      </c>
      <c r="B103" s="5" t="inlineStr">
        <is>
          <t>B2B社数</t>
        </is>
      </c>
      <c r="C103" s="5" t="inlineStr">
        <is>
          <t>月額</t>
        </is>
      </c>
      <c r="D103" s="5" t="inlineStr">
        <is>
          <t>人材紹介件数</t>
        </is>
      </c>
      <c r="E103" s="5" t="inlineStr">
        <is>
          <t>Year2売上</t>
        </is>
      </c>
      <c r="F103" s="5" t="inlineStr">
        <is>
          <t>Year2営業利益</t>
        </is>
      </c>
    </row>
    <row r="104">
      <c r="A104" s="25" t="inlineStr">
        <is>
          <t>楽観シナリオ</t>
        </is>
      </c>
      <c r="B104" s="26" t="inlineStr">
        <is>
          <t>65社</t>
        </is>
      </c>
      <c r="C104" s="26" t="inlineStr">
        <is>
          <t>20万円</t>
        </is>
      </c>
      <c r="D104" s="26" t="inlineStr">
        <is>
          <t>30件</t>
        </is>
      </c>
      <c r="E104" s="27" t="n">
        <v>19800</v>
      </c>
      <c r="F104" s="27" t="n">
        <v>9600</v>
      </c>
    </row>
    <row r="105">
      <c r="A105" s="25" t="inlineStr">
        <is>
          <t>中央値シナリオ</t>
        </is>
      </c>
      <c r="B105" s="26" t="inlineStr">
        <is>
          <t>50社</t>
        </is>
      </c>
      <c r="C105" s="26" t="inlineStr">
        <is>
          <t>18万円</t>
        </is>
      </c>
      <c r="D105" s="26" t="inlineStr">
        <is>
          <t>20件</t>
        </is>
      </c>
      <c r="E105" s="27" t="n">
        <v>14400</v>
      </c>
      <c r="F105" s="27" t="n">
        <v>4500</v>
      </c>
    </row>
    <row r="106">
      <c r="A106" s="28" t="inlineStr">
        <is>
          <t>保守シナリオ</t>
        </is>
      </c>
      <c r="B106" s="29" t="inlineStr">
        <is>
          <t>30社</t>
        </is>
      </c>
      <c r="C106" s="29" t="inlineStr">
        <is>
          <t>15万円</t>
        </is>
      </c>
      <c r="D106" s="29" t="inlineStr">
        <is>
          <t>10件</t>
        </is>
      </c>
      <c r="E106" s="30" t="n">
        <v>6800</v>
      </c>
      <c r="F106" s="30" t="n">
        <v>-1000</v>
      </c>
    </row>
    <row r="108">
      <c r="A108" s="4" t="inlineStr">
        <is>
          <t>資金調達シナリオ</t>
        </is>
      </c>
    </row>
    <row r="109">
      <c r="A109" s="5" t="inlineStr">
        <is>
          <t>フェーズ</t>
        </is>
      </c>
      <c r="B109" s="5" t="inlineStr">
        <is>
          <t>必要資金</t>
        </is>
      </c>
      <c r="C109" s="5" t="inlineStr">
        <is>
          <t>調達方法</t>
        </is>
      </c>
      <c r="D109" s="5" t="inlineStr">
        <is>
          <t>用途</t>
        </is>
      </c>
    </row>
    <row r="110">
      <c r="A110" s="6" t="inlineStr">
        <is>
          <t>フェーズ0〜1（〜12ヶ月）</t>
        </is>
      </c>
      <c r="B110" s="7" t="inlineStr">
        <is>
          <t>2,000万円</t>
        </is>
      </c>
      <c r="C110" s="7" t="inlineStr">
        <is>
          <t>エンジェル・自己資金</t>
        </is>
      </c>
      <c r="D110" s="6" t="inlineStr">
        <is>
          <t>初期人件費・法的精査・システム開発</t>
        </is>
      </c>
    </row>
    <row r="111">
      <c r="A111" s="6" t="inlineStr">
        <is>
          <t>フェーズ2（1〜3年）</t>
        </is>
      </c>
      <c r="B111" s="7" t="inlineStr">
        <is>
          <t>1億円（シリーズA相当）</t>
        </is>
      </c>
      <c r="C111" s="7" t="inlineStr">
        <is>
          <t>VC調達</t>
        </is>
      </c>
      <c r="D111" s="6" t="inlineStr">
        <is>
          <t>FDE採用加速・マーケティング・SaaS開発</t>
        </is>
      </c>
    </row>
    <row r="112">
      <c r="A112" s="6" t="inlineStr">
        <is>
          <t>フェーズ3（3〜5年）</t>
        </is>
      </c>
      <c r="B112" s="7" t="inlineStr">
        <is>
          <t>5億円（シリーズB相当）</t>
        </is>
      </c>
      <c r="C112" s="7" t="inlineStr">
        <is>
          <t>VC調達</t>
        </is>
      </c>
      <c r="D112" s="6" t="inlineStr">
        <is>
          <t>完遂ログSaaS化・地方展開</t>
        </is>
      </c>
    </row>
    <row r="114">
      <c r="A114" s="4" t="inlineStr">
        <is>
          <t>重要前提・注意事項</t>
        </is>
      </c>
    </row>
    <row r="115">
      <c r="A115" s="31" t="inlineStr">
        <is>
          <t>1. 本PLは中央値シナリオ（楽観でも悲観でもない）に基づく</t>
        </is>
      </c>
    </row>
    <row r="116">
      <c r="A116" s="31" t="inlineStr">
        <is>
          <t>2. 有料職業紹介業許可の取得をYear1中に完了すると仮定（遅延リスクあり）</t>
        </is>
      </c>
    </row>
    <row r="117">
      <c r="A117" s="31" t="inlineStr">
        <is>
          <t>3. FDE採用が計画通り進まない場合、Year2以降の売上は大幅下振れのリスクあり</t>
        </is>
      </c>
    </row>
    <row r="118">
      <c r="A118" s="31" t="inlineStr">
        <is>
          <t>4. 消費税・インボイス対応は別途計上（本PLは税引前）</t>
        </is>
      </c>
    </row>
    <row r="119">
      <c r="A119" s="31" t="inlineStr">
        <is>
          <t>5. 完遂ログSaaS化は本PLに含まない（Year4以降の別途試算が必要）</t>
        </is>
      </c>
    </row>
    <row r="120">
      <c r="A120" s="31" t="inlineStr">
        <is>
          <t>6. 資金調達なしのブートストラップ場合、Year1末の累計CF▲140万円は自己資金でカバーする必要がある</t>
        </is>
      </c>
    </row>
  </sheetData>
  <mergeCells count="21">
    <mergeCell ref="A91:D91"/>
    <mergeCell ref="A118:F118"/>
    <mergeCell ref="A75:F75"/>
    <mergeCell ref="A89:F89"/>
    <mergeCell ref="A120:F120"/>
    <mergeCell ref="A3:F3"/>
    <mergeCell ref="A2:F2"/>
    <mergeCell ref="A14:F14"/>
    <mergeCell ref="A116:F116"/>
    <mergeCell ref="A5:F5"/>
    <mergeCell ref="A36:D36"/>
    <mergeCell ref="A115:F115"/>
    <mergeCell ref="A68:F68"/>
    <mergeCell ref="A102:F102"/>
    <mergeCell ref="A117:F117"/>
    <mergeCell ref="A16:D16"/>
    <mergeCell ref="A114:F114"/>
    <mergeCell ref="A108:D108"/>
    <mergeCell ref="A1:F1"/>
    <mergeCell ref="A26:D26"/>
    <mergeCell ref="A119:F119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2026-03-08T22:50:17Z</dcterms:created>
  <dcterms:modified xsi:type="dcterms:W3CDTF">2026-03-08T22:50:17Z</dcterms:modified>
</cp:coreProperties>
</file>