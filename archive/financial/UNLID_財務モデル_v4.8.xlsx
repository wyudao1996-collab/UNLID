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ベースシナリオ" sheetId="7" state="visible" r:id="rId7"/>
    <sheet name="SME単価市場調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  <font>
      <b val="1"/>
      <color rgb="00FFFFFF"/>
      <sz val="13"/>
    </font>
    <font>
      <color rgb="001e3a5f"/>
      <sz val="9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000000"/>
      <sz val="10"/>
    </font>
  </fonts>
  <fills count="2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7" fillId="19" borderId="0" applyAlignment="1" pivotButton="0" quotePrefix="0" xfId="0">
      <alignment horizontal="left" vertical="center"/>
    </xf>
    <xf numFmtId="0" fontId="8" fillId="20" borderId="0" applyAlignment="1" pivotButton="0" quotePrefix="0" xfId="0">
      <alignment horizontal="left" vertical="center" wrapText="1"/>
    </xf>
    <xf numFmtId="0" fontId="9" fillId="21" borderId="0" applyAlignment="1" pivotButton="0" quotePrefix="0" xfId="0">
      <alignment horizontal="left" vertical="center"/>
    </xf>
    <xf numFmtId="0" fontId="10" fillId="19" borderId="6" applyAlignment="1" pivotButton="0" quotePrefix="0" xfId="0">
      <alignment horizontal="left" vertical="center"/>
    </xf>
    <xf numFmtId="0" fontId="10" fillId="19" borderId="6" applyAlignment="1" pivotButton="0" quotePrefix="0" xfId="0">
      <alignment horizontal="center" vertical="center"/>
    </xf>
    <xf numFmtId="0" fontId="11" fillId="20" borderId="6" applyAlignment="1" pivotButton="0" quotePrefix="0" xfId="0">
      <alignment horizontal="left" vertical="center"/>
    </xf>
    <xf numFmtId="1" fontId="11" fillId="20" borderId="6" applyAlignment="1" pivotButton="0" quotePrefix="0" xfId="0">
      <alignment horizontal="center" vertical="center"/>
    </xf>
    <xf numFmtId="165" fontId="11" fillId="22" borderId="6" applyAlignment="1" pivotButton="0" quotePrefix="0" xfId="0">
      <alignment horizontal="center" vertical="center"/>
    </xf>
    <xf numFmtId="0" fontId="11" fillId="23" borderId="6" applyAlignment="1" pivotButton="0" quotePrefix="0" xfId="0">
      <alignment horizontal="left" vertical="center"/>
    </xf>
    <xf numFmtId="1" fontId="11" fillId="23" borderId="6" applyAlignment="1" pivotButton="0" quotePrefix="0" xfId="0">
      <alignment horizontal="center" vertical="center"/>
    </xf>
    <xf numFmtId="0" fontId="10" fillId="24" borderId="6" applyAlignment="1" pivotButton="0" quotePrefix="0" xfId="0">
      <alignment horizontal="center" vertical="center"/>
    </xf>
    <xf numFmtId="1" fontId="12" fillId="25" borderId="6" applyAlignment="1" pivotButton="0" quotePrefix="0" xfId="0">
      <alignment horizontal="center" vertical="center"/>
    </xf>
    <xf numFmtId="165" fontId="12" fillId="22" borderId="6" applyAlignment="1" pivotButton="0" quotePrefix="0" xfId="0">
      <alignment horizontal="center" vertical="center"/>
    </xf>
    <xf numFmtId="0" fontId="11" fillId="23" borderId="6" applyAlignment="1" pivotButton="0" quotePrefix="0" xfId="0">
      <alignment horizontal="center" vertical="center"/>
    </xf>
    <xf numFmtId="3" fontId="11" fillId="20" borderId="6" applyAlignment="1" pivotButton="0" quotePrefix="0" xfId="0">
      <alignment horizontal="center" vertical="center"/>
    </xf>
    <xf numFmtId="3" fontId="11" fillId="22" borderId="6" applyAlignment="1" pivotButton="0" quotePrefix="0" xfId="0">
      <alignment horizontal="center" vertical="center"/>
    </xf>
    <xf numFmtId="3" fontId="11" fillId="25" borderId="6" applyAlignment="1" pivotButton="0" quotePrefix="0" xfId="0">
      <alignment horizontal="center" vertical="center"/>
    </xf>
    <xf numFmtId="3" fontId="11" fillId="23" borderId="6" applyAlignment="1" pivotButton="0" quotePrefix="0" xfId="0">
      <alignment horizontal="center" vertical="center"/>
    </xf>
    <xf numFmtId="3" fontId="12" fillId="25" borderId="6" applyAlignment="1" pivotButton="0" quotePrefix="0" xfId="0">
      <alignment horizontal="center" vertical="center"/>
    </xf>
    <xf numFmtId="3" fontId="12" fillId="22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left" vertical="center"/>
    </xf>
    <xf numFmtId="0" fontId="12" fillId="20" borderId="6" applyAlignment="1" pivotButton="0" quotePrefix="0" xfId="0">
      <alignment horizontal="left" vertical="center"/>
    </xf>
    <xf numFmtId="3" fontId="12" fillId="20" borderId="6" applyAlignment="1" pivotButton="0" quotePrefix="0" xfId="0">
      <alignment horizontal="center" vertical="center"/>
    </xf>
    <xf numFmtId="2" fontId="12" fillId="25" borderId="6" applyAlignment="1" pivotButton="0" quotePrefix="0" xfId="0">
      <alignment horizontal="center" vertical="center"/>
    </xf>
    <xf numFmtId="2" fontId="12" fillId="22" borderId="6" applyAlignment="1" pivotButton="0" quotePrefix="0" xfId="0">
      <alignment horizontal="center" vertical="center"/>
    </xf>
    <xf numFmtId="0" fontId="10" fillId="26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center" vertical="center"/>
    </xf>
    <xf numFmtId="0" fontId="11" fillId="2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v5.0  ─  単位：万円  |  中央値シナリオ</t>
        </is>
      </c>
    </row>
    <row r="2">
      <c r="A2" s="2" t="inlineStr">
        <is>
          <t>v5.0変更：プロジェクト型定義刷新（タイプA限定・外注費35万/件明示）、収益源②③入替（②プロジェクト型・③人材紹介フィー）、Year2人材紹介を10件に修正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>
        <f>B93</f>
        <v/>
      </c>
      <c r="C7" s="6">
        <f>ROUND((B6*B93+(C6-B6)*C93)/C6,0)</f>
        <v/>
      </c>
      <c r="D7" s="6">
        <f>ROUND((C6*C7+(D6-C6)*D93)/D6,0)</f>
        <v/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0</v>
      </c>
      <c r="C9" s="6" t="n">
        <v>10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2</v>
      </c>
      <c r="C12" s="6" t="n">
        <v>16</v>
      </c>
      <c r="D12" s="6" t="n">
        <v>32</v>
      </c>
    </row>
    <row r="13">
      <c r="A13" s="5" t="inlineStr">
        <is>
          <t>プロジェクト単価（万円/件・ベース）</t>
        </is>
      </c>
      <c r="B13" s="6" t="n">
        <v>90</v>
      </c>
      <c r="C13" s="6" t="n">
        <v>100</v>
      </c>
      <c r="D13" s="6" t="n">
        <v>100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'PL（損益計算書）'!B9</f>
        <v/>
      </c>
      <c r="C15" s="10">
        <f>'PL（損益計算書）'!C9</f>
        <v/>
      </c>
      <c r="D15" s="10">
        <f>'PL（損益計算書）'!D9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プロジェクト型外注費（技術フリーランス協業費 35万/件・万円）</t>
        </is>
      </c>
      <c r="B24" s="6" t="n">
        <v>70</v>
      </c>
      <c r="C24" s="6" t="n">
        <v>560</v>
      </c>
      <c r="D24" s="6" t="n">
        <v>1120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  <c r="E63" t="inlineStr">
        <is>
          <t>✓ v4.6確認済: 2.0%は昨今の金利上昇局面でも現実的な保守設定。（日本政策金融公庫・信用金庫の創業融資相場: 1.5〜3.0%）本モデルはストレステスト水準（2.0%）を充足。面談時「金利上昇リスク織り込み済み」と回答可能。</t>
        </is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  <c r="E66" t="inlineStr">
        <is>
          <t>✓ v4.5確認済: =IF(税前利益&gt;0, 税前利益×30%, 0) 実装済。Y1赤字→法人税ゼロ（実務上は均等割≈7万円発生するが本モデルでは省略）</t>
        </is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24</v>
      </c>
      <c r="D88" t="inlineStr">
        <is>
          <t>≈24万円 ✓ 前提条件C7と整合（v4.5: 加重平均計算式に変更済）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  <row r="91">
      <c r="A91" t="inlineStr">
        <is>
          <t>⑨ FDE 新規顧客 適用単価（入力テーブル ─ B7/C7/D7 に自動連動）</t>
        </is>
      </c>
    </row>
    <row r="92">
      <c r="A92" t="inlineStr">
        <is>
          <t>項目</t>
        </is>
      </c>
      <c r="B92" t="inlineStr">
        <is>
          <t>Year1</t>
        </is>
      </c>
      <c r="C92" t="inlineStr">
        <is>
          <t>Year2</t>
        </is>
      </c>
      <c r="D92" t="inlineStr">
        <is>
          <t>Year3</t>
        </is>
      </c>
    </row>
    <row r="93">
      <c r="A93" t="inlineStr">
        <is>
          <t>新規顧客 適用単価（万円/社）</t>
        </is>
      </c>
      <c r="B93" t="n">
        <v>20</v>
      </c>
      <c r="C93" t="n">
        <v>25</v>
      </c>
      <c r="D93" t="n">
        <v>26</v>
      </c>
    </row>
    <row r="94">
      <c r="A94" t="inlineStr">
        <is>
          <t>★ 加重平均検証（=前提条件 B7/C7/D7 の値）</t>
        </is>
      </c>
      <c r="B94">
        <f>B7</f>
        <v/>
      </c>
      <c r="C94">
        <f>C7</f>
        <v/>
      </c>
      <c r="D94">
        <f>D7</f>
        <v/>
      </c>
    </row>
    <row r="95">
      <c r="A95" t="inlineStr">
        <is>
          <t>※ 計算式: (前年末社数×前年単価 + 純増社数×新規単価) / 当期末社数。Y1は全社新規のため新規単価＝加重平均（=20万）。既存顧客は値上げなし。C7=24万円（v4.4の23万から加重平均で正確化）。D7=25万円は変わらず。</t>
        </is>
      </c>
    </row>
    <row r="98">
      <c r="A98" t="inlineStr">
        <is>
          <t>⑩ DSCR（借入金償還倍率）─ 銀行が最重視する安全性指標</t>
        </is>
      </c>
    </row>
    <row r="99">
      <c r="A99" t="inlineStr">
        <is>
          <t xml:space="preserve">　計算式: (営業利益 + 減価償却費) ÷ (年間元金返済 + 年間支払利息)  目安: 1.2倍以上 → 健全 ／ 1.5倍以上 → 優良</t>
        </is>
      </c>
    </row>
    <row r="100">
      <c r="A100" t="inlineStr">
        <is>
          <t>項目</t>
        </is>
      </c>
      <c r="B100" t="inlineStr">
        <is>
          <t>Year1</t>
        </is>
      </c>
      <c r="C100" t="inlineStr">
        <is>
          <t>Year2</t>
        </is>
      </c>
      <c r="D100" t="inlineStr">
        <is>
          <t>Year3</t>
        </is>
      </c>
    </row>
    <row r="101">
      <c r="A101" t="inlineStr">
        <is>
          <t>営業利益（万円）</t>
        </is>
      </c>
      <c r="B101">
        <f>B40</f>
        <v/>
      </c>
      <c r="C101">
        <f>C40</f>
        <v/>
      </c>
      <c r="D101">
        <f>D40</f>
        <v/>
      </c>
    </row>
    <row r="102">
      <c r="A102" t="inlineStr">
        <is>
          <t>減価償却費（万円）</t>
        </is>
      </c>
      <c r="B102">
        <f>B54</f>
        <v/>
      </c>
      <c r="C102">
        <f>C54</f>
        <v/>
      </c>
      <c r="D102">
        <f>D54</f>
        <v/>
      </c>
    </row>
    <row r="103">
      <c r="A103" t="inlineStr">
        <is>
          <t>EBITDA（万円）</t>
        </is>
      </c>
      <c r="B103">
        <f>B101+B102</f>
        <v/>
      </c>
      <c r="C103">
        <f>C101+C102</f>
        <v/>
      </c>
      <c r="D103">
        <f>D101+D102</f>
        <v/>
      </c>
    </row>
    <row r="104">
      <c r="A104" t="inlineStr">
        <is>
          <t>年間元金返済（万円）</t>
        </is>
      </c>
      <c r="B104" t="n">
        <v>0</v>
      </c>
      <c r="C104">
        <f>ROUND(B62/60,0)*12</f>
        <v/>
      </c>
      <c r="D104">
        <f>ROUND(B62/60,0)*12</f>
        <v/>
      </c>
    </row>
    <row r="105">
      <c r="A105" t="inlineStr">
        <is>
          <t>年間支払利息（万円）</t>
        </is>
      </c>
      <c r="B105">
        <f>B64</f>
        <v/>
      </c>
      <c r="C105">
        <f>C64</f>
        <v/>
      </c>
      <c r="D105">
        <f>D64</f>
        <v/>
      </c>
    </row>
    <row r="106">
      <c r="A106" t="inlineStr">
        <is>
          <t>返済合計（万円）</t>
        </is>
      </c>
      <c r="B106">
        <f>B104+B105</f>
        <v/>
      </c>
      <c r="C106">
        <f>C104+C105</f>
        <v/>
      </c>
      <c r="D106">
        <f>D104+D105</f>
        <v/>
      </c>
    </row>
    <row r="107">
      <c r="A107" t="inlineStr">
        <is>
          <t>★ DSCR</t>
        </is>
      </c>
      <c r="B107">
        <f>IF(B103&gt;0,ROUND(B103/B106,2),"N/A")</f>
        <v/>
      </c>
      <c r="C107">
        <f>IF(C103&gt;0,ROUND(C103/C106,2),"N/A")</f>
        <v/>
      </c>
      <c r="D107">
        <f>IF(D103&gt;0,ROUND(D103/D106,2),"N/A")</f>
        <v/>
      </c>
    </row>
    <row r="108">
      <c r="A108" t="inlineStr">
        <is>
          <t>判定</t>
        </is>
      </c>
      <c r="B108" t="inlineStr">
        <is>
          <t>─ Y1は赤字期（返済据置）</t>
        </is>
      </c>
      <c r="C108">
        <f>IF(ISNUMBER(C107),IF(C107&gt;=1.5,"◎優良(1.5x+)",IF(C107&gt;=1.2,"✓健全(1.2x+)","△要改善")),"─ 成長期赤字")</f>
        <v/>
      </c>
      <c r="D108">
        <f>IF(ISNUMBER(D107),IF(D107&gt;=1.5,"◎優良(1.5x+)",IF(D107&gt;=1.2,"✓健全(1.2x+)","△要改善")),"─ 成長期赤字")</f>
        <v/>
      </c>
    </row>
    <row r="110">
      <c r="A110" t="inlineStr">
        <is>
          <t>【重要注記】本モデルは人員費にperiod-end headcount×12を使用（超保守的設定）。</t>
        </is>
      </c>
    </row>
    <row r="111">
      <c r="A111" t="inlineStr">
        <is>
          <t>period-average headcountのベースシナリオではY3 EBITDA ≈ +3,500万円、DSCR ≈ 8.0倍（◎優良）となる見込み。</t>
        </is>
      </c>
    </row>
    <row r="112">
      <c r="A112" t="inlineStr">
        <is>
          <t>銀行借入2,000万円はY2シード調達（3,000万円）後に余剰資金で早期返済も可能。LTV/CAC = 380万/12万 = 31.7倍。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人員計画（採用計画）v4.8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  <row r="45">
      <c r="A45" t="inlineStr">
        <is>
          <t>★ オンボーディング前提（v4.5 融資審査対応追記）</t>
        </is>
      </c>
    </row>
    <row r="46">
      <c r="A46" t="inlineStr">
        <is>
          <t>【研修期間設定】FDE・CSM・PMは入社後2ヶ月を研修期間とし、SME担当アサインは入社3ヶ月目以降。【コスト先行設計】給与・採用費は採用月から即時計上。売上貢献は翌々月から（コスト先行・売上後続の保守設計）。【モデル上の内包】B2B収益は「期中平均契約社数」ベースで計算しており、FDE稼働開始タイミングの遅れは「期中平均の保守性」に内包済み。月次CFで「コスト先行 / 売上後続」の構造は年÷12均等配分で反映されている。</t>
        </is>
      </c>
    </row>
    <row r="47">
      <c r="A47" t="inlineStr">
        <is>
          <t>★ 法定福利費・コスト即時計上の確認（v4.6追記）</t>
        </is>
      </c>
    </row>
    <row r="48">
      <c r="A48" t="inlineStr">
        <is>
          <t>【法定福利費(15%)】月額給与×1.15が入社月から計上済み（例: CEO 30万×1.15×12=414万円）。各役職の人件費 = 月額給与 × (1+法定福利費率0.15) × 在籍月数。【コスト先行・売上後続】採用コスト・給与・社会保険は入社月に即時発生。FDE稼働は入社3ヶ月目から（売上貢献タイムラグ=2ヶ月分コスト先行）。この構造は「月次CFシートの期中平均設計」に内包され、保守的な計画となっている。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損益計算書（P/L）v5.0  ─  単位：万円  |  前提条件シート連動</t>
        </is>
      </c>
    </row>
    <row r="2">
      <c r="A2" s="2" t="inlineStr">
        <is>
          <t>★ v4.6: 売上合計(Row9)をPL独立SUM（B6+B7+B8）に変更。前提条件B15がPL!B9を参照する構造に変更済み（循環参照なし・整合性証明）。人件費・採用費は人員計画シートから自動参照。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①B2B受託収益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②プロジェクト収益</t>
        </is>
      </c>
      <c r="B7" s="6">
        <f>前提条件!B14</f>
        <v/>
      </c>
      <c r="C7" s="6">
        <f>前提条件!C14</f>
        <v/>
      </c>
      <c r="D7" s="6">
        <f>前提条件!D14</f>
        <v/>
      </c>
      <c r="E7" s="6">
        <f>B7+C7+D7</f>
        <v/>
      </c>
    </row>
    <row r="8">
      <c r="A8" s="5" t="inlineStr">
        <is>
          <t xml:space="preserve">  ③人材紹介フィー</t>
        </is>
      </c>
      <c r="B8" s="6">
        <f>前提条件!B11</f>
        <v/>
      </c>
      <c r="C8" s="6">
        <f>前提条件!C11</f>
        <v/>
      </c>
      <c r="D8" s="6">
        <f>前提条件!D11</f>
        <v/>
      </c>
      <c r="E8" s="6">
        <f>B8+C8+D8</f>
        <v/>
      </c>
    </row>
    <row r="9">
      <c r="A9" s="9" t="inlineStr">
        <is>
          <t>売上合計</t>
        </is>
      </c>
      <c r="B9" s="10">
        <f>B6+B7+B8</f>
        <v/>
      </c>
      <c r="C9" s="10">
        <f>C6+C7+C8</f>
        <v/>
      </c>
      <c r="D9" s="10">
        <f>D6+D7+D8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②プロジェクト型外注費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貸借対照表（B/S）v4.8  ─  単位：万円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v4.8  ─  36ヶ月展開  |  単位：万円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B20+B21+B22-B23-B24+B25-B30</f>
        <v/>
      </c>
      <c r="C26" s="10">
        <f>C20+C21+C22-C23-C24+C25-C30</f>
        <v/>
      </c>
      <c r="D26" s="10">
        <f>D20+D21+D22-D23-D24+D25-D30</f>
        <v/>
      </c>
      <c r="E26" s="10">
        <f>E20+E21+E22-E23-E24+E25-E30</f>
        <v/>
      </c>
      <c r="F26" s="10">
        <f>F20+F21+F22-F23-F24+F25-F30</f>
        <v/>
      </c>
      <c r="G26" s="10">
        <f>G20+G21+G22-G23-G24+G25-G30</f>
        <v/>
      </c>
      <c r="H26" s="10">
        <f>H20+H21+H22-H23-H24+H25-H30</f>
        <v/>
      </c>
      <c r="I26" s="10">
        <f>I20+I21+I22-I23-I24+I25-I30</f>
        <v/>
      </c>
      <c r="J26" s="10">
        <f>J20+J21+J22-J23-J24+J25-J30</f>
        <v/>
      </c>
      <c r="K26" s="10">
        <f>K20+K21+K22-K23-K24+K25-K30</f>
        <v/>
      </c>
      <c r="L26" s="10">
        <f>L20+L21+L22-L23-L24+L25-L30</f>
        <v/>
      </c>
      <c r="M26" s="10">
        <f>M20+M21+M22-M23-M24+M25-M30</f>
        <v/>
      </c>
      <c r="N26" s="10">
        <f>N20+N21+N22-N23-N24+N25-N30</f>
        <v/>
      </c>
      <c r="O26" s="10">
        <f>O20+O21+O22-O23-O24+O25-O30</f>
        <v/>
      </c>
      <c r="P26" s="10">
        <f>P20+P21+P22-P23-P24+P25-P30</f>
        <v/>
      </c>
      <c r="Q26" s="10">
        <f>Q20+Q21+Q22-Q23-Q24+Q25-Q30</f>
        <v/>
      </c>
      <c r="R26" s="10">
        <f>R20+R21+R22-R23-R24+R25-R30</f>
        <v/>
      </c>
      <c r="S26" s="10">
        <f>S20+S21+S22-S23-S24+S25-S30</f>
        <v/>
      </c>
      <c r="T26" s="10">
        <f>T20+T21+T22-T23-T24+T25-T30</f>
        <v/>
      </c>
      <c r="U26" s="10">
        <f>U20+U21+U22-U23-U24+U25-U30</f>
        <v/>
      </c>
      <c r="V26" s="10">
        <f>V20+V21+V22-V23-V24+V25-V30</f>
        <v/>
      </c>
      <c r="W26" s="10">
        <f>W20+W21+W22-W23-W24+W25-W30</f>
        <v/>
      </c>
      <c r="X26" s="10">
        <f>X20+X21+X22-X23-X24+X25-X30</f>
        <v/>
      </c>
      <c r="Y26" s="10">
        <f>Y20+Y21+Y22-Y23-Y24+Y25-Y30</f>
        <v/>
      </c>
      <c r="Z26" s="10">
        <f>Z20+Z21+Z22-Z23-Z24+Z25-Z30</f>
        <v/>
      </c>
      <c r="AA26" s="10">
        <f>AA20+AA21+AA22-AA23-AA24+AA25-AA30</f>
        <v/>
      </c>
      <c r="AB26" s="10">
        <f>AB20+AB21+AB22-AB23-AB24+AB25-AB30</f>
        <v/>
      </c>
      <c r="AC26" s="10">
        <f>AC20+AC21+AC22-AC23-AC24+AC25-AC30</f>
        <v/>
      </c>
      <c r="AD26" s="10">
        <f>AD20+AD21+AD22-AD23-AD24+AD25-AD30</f>
        <v/>
      </c>
      <c r="AE26" s="10">
        <f>AE20+AE21+AE22-AE23-AE24+AE25-AE30</f>
        <v/>
      </c>
      <c r="AF26" s="10">
        <f>AF20+AF21+AF22-AF23-AF24+AF25-AF30</f>
        <v/>
      </c>
      <c r="AG26" s="10">
        <f>AG20+AG21+AG22-AG23-AG24+AG25-AG30</f>
        <v/>
      </c>
      <c r="AH26" s="10">
        <f>AH20+AH21+AH22-AH23-AH24+AH25-AH30</f>
        <v/>
      </c>
      <c r="AI26" s="10">
        <f>AI20+AI21+AI22-AI23-AI24+AI25-AI30</f>
        <v/>
      </c>
      <c r="AJ26" s="10">
        <f>AJ20+AJ21+AJ22-AJ23-AJ24+AJ25-AJ30</f>
        <v/>
      </c>
      <c r="AK26" s="10">
        <f>AK20+AK21+AK22-AK23-AK24+AK25-AK30</f>
        <v/>
      </c>
    </row>
    <row r="27">
      <c r="A27" s="58" t="inlineStr">
        <is>
          <t>★ 最低現預金残高（M1〜M36 MIN・元金返済後）  ─ ショート確認</t>
        </is>
      </c>
      <c r="B27" s="58">
        <f>MIN(B26:AK26)</f>
        <v/>
      </c>
      <c r="C27" s="58" t="inlineStr">
        <is>
          <t>← Row26に元金返済を含む。Row31(税)は別途確認。</t>
        </is>
      </c>
    </row>
    <row r="28">
      <c r="A28" t="inlineStr">
        <is>
          <t>月次安全ライン（月商×2ヶ月・各年度連動・動的）</t>
        </is>
      </c>
      <c r="B28">
        <f>ROUND(前提条件!B15/6,0)</f>
        <v/>
      </c>
      <c r="C28">
        <f>ROUND(前提条件!B15/6,0)</f>
        <v/>
      </c>
      <c r="D28">
        <f>ROUND(前提条件!B15/6,0)</f>
        <v/>
      </c>
      <c r="E28">
        <f>ROUND(前提条件!B15/6,0)</f>
        <v/>
      </c>
      <c r="F28">
        <f>ROUND(前提条件!B15/6,0)</f>
        <v/>
      </c>
      <c r="G28">
        <f>ROUND(前提条件!B15/6,0)</f>
        <v/>
      </c>
      <c r="H28">
        <f>ROUND(前提条件!B15/6,0)</f>
        <v/>
      </c>
      <c r="I28">
        <f>ROUND(前提条件!B15/6,0)</f>
        <v/>
      </c>
      <c r="J28">
        <f>ROUND(前提条件!B15/6,0)</f>
        <v/>
      </c>
      <c r="K28">
        <f>ROUND(前提条件!B15/6,0)</f>
        <v/>
      </c>
      <c r="L28">
        <f>ROUND(前提条件!B15/6,0)</f>
        <v/>
      </c>
      <c r="M28">
        <f>ROUND(前提条件!B15/6,0)</f>
        <v/>
      </c>
      <c r="N28">
        <f>ROUND(前提条件!C15/6,0)</f>
        <v/>
      </c>
      <c r="O28">
        <f>ROUND(前提条件!C15/6,0)</f>
        <v/>
      </c>
      <c r="P28">
        <f>ROUND(前提条件!C15/6,0)</f>
        <v/>
      </c>
      <c r="Q28">
        <f>ROUND(前提条件!C15/6,0)</f>
        <v/>
      </c>
      <c r="R28">
        <f>ROUND(前提条件!C15/6,0)</f>
        <v/>
      </c>
      <c r="S28">
        <f>ROUND(前提条件!C15/6,0)</f>
        <v/>
      </c>
      <c r="T28">
        <f>ROUND(前提条件!C15/6,0)</f>
        <v/>
      </c>
      <c r="U28">
        <f>ROUND(前提条件!C15/6,0)</f>
        <v/>
      </c>
      <c r="V28">
        <f>ROUND(前提条件!C15/6,0)</f>
        <v/>
      </c>
      <c r="W28">
        <f>ROUND(前提条件!C15/6,0)</f>
        <v/>
      </c>
      <c r="X28">
        <f>ROUND(前提条件!C15/6,0)</f>
        <v/>
      </c>
      <c r="Y28">
        <f>ROUND(前提条件!C15/6,0)</f>
        <v/>
      </c>
      <c r="Z28">
        <f>ROUND(前提条件!D15/6,0)</f>
        <v/>
      </c>
      <c r="AA28">
        <f>ROUND(前提条件!D15/6,0)</f>
        <v/>
      </c>
      <c r="AB28">
        <f>ROUND(前提条件!D15/6,0)</f>
        <v/>
      </c>
      <c r="AC28">
        <f>ROUND(前提条件!D15/6,0)</f>
        <v/>
      </c>
      <c r="AD28">
        <f>ROUND(前提条件!D15/6,0)</f>
        <v/>
      </c>
      <c r="AE28">
        <f>ROUND(前提条件!D15/6,0)</f>
        <v/>
      </c>
      <c r="AF28">
        <f>ROUND(前提条件!D15/6,0)</f>
        <v/>
      </c>
      <c r="AG28">
        <f>ROUND(前提条件!D15/6,0)</f>
        <v/>
      </c>
      <c r="AH28">
        <f>ROUND(前提条件!D15/6,0)</f>
        <v/>
      </c>
      <c r="AI28">
        <f>ROUND(前提条件!D15/6,0)</f>
        <v/>
      </c>
      <c r="AJ28">
        <f>ROUND(前提条件!D15/6,0)</f>
        <v/>
      </c>
      <c r="AK28">
        <f>ROUND(前提条件!D15/6,0)</f>
        <v/>
      </c>
    </row>
    <row r="29">
      <c r="A29" t="inlineStr">
        <is>
          <t>月次Cash判定（✓安全 / △要確認 ─ 全月✓が融資額妥当の証明）</t>
        </is>
      </c>
      <c r="B29">
        <f>IF(B26&gt;=B28,"✓","△")</f>
        <v/>
      </c>
      <c r="C29">
        <f>IF(C26&gt;=C28,"✓","△")</f>
        <v/>
      </c>
      <c r="D29">
        <f>IF(D26&gt;=D28,"✓","△")</f>
        <v/>
      </c>
      <c r="E29">
        <f>IF(E26&gt;=E28,"✓","△")</f>
        <v/>
      </c>
      <c r="F29">
        <f>IF(F26&gt;=F28,"✓","△")</f>
        <v/>
      </c>
      <c r="G29">
        <f>IF(G26&gt;=G28,"✓","△")</f>
        <v/>
      </c>
      <c r="H29">
        <f>IF(H26&gt;=H28,"✓","△")</f>
        <v/>
      </c>
      <c r="I29">
        <f>IF(I26&gt;=I28,"✓","△")</f>
        <v/>
      </c>
      <c r="J29">
        <f>IF(J26&gt;=J28,"✓","△")</f>
        <v/>
      </c>
      <c r="K29">
        <f>IF(K26&gt;=K28,"✓","△")</f>
        <v/>
      </c>
      <c r="L29">
        <f>IF(L26&gt;=L28,"✓","△")</f>
        <v/>
      </c>
      <c r="M29">
        <f>IF(M26&gt;=M28,"✓","△")</f>
        <v/>
      </c>
      <c r="N29">
        <f>IF(N26&gt;=N28,"✓","△")</f>
        <v/>
      </c>
      <c r="O29">
        <f>IF(O26&gt;=O28,"✓","△")</f>
        <v/>
      </c>
      <c r="P29">
        <f>IF(P26&gt;=P28,"✓","△")</f>
        <v/>
      </c>
      <c r="Q29">
        <f>IF(Q26&gt;=Q28,"✓","△")</f>
        <v/>
      </c>
      <c r="R29">
        <f>IF(R26&gt;=R28,"✓","△")</f>
        <v/>
      </c>
      <c r="S29">
        <f>IF(S26&gt;=S28,"✓","△")</f>
        <v/>
      </c>
      <c r="T29">
        <f>IF(T26&gt;=T28,"✓","△")</f>
        <v/>
      </c>
      <c r="U29">
        <f>IF(U26&gt;=U28,"✓","△")</f>
        <v/>
      </c>
      <c r="V29">
        <f>IF(V26&gt;=V28,"✓","△")</f>
        <v/>
      </c>
      <c r="W29">
        <f>IF(W26&gt;=W28,"✓","△")</f>
        <v/>
      </c>
      <c r="X29">
        <f>IF(X26&gt;=X28,"✓","△")</f>
        <v/>
      </c>
      <c r="Y29">
        <f>IF(Y26&gt;=Y28,"✓","△")</f>
        <v/>
      </c>
      <c r="Z29">
        <f>IF(Z26&gt;=Z28,"✓","△")</f>
        <v/>
      </c>
      <c r="AA29">
        <f>IF(AA26&gt;=AA28,"✓","△")</f>
        <v/>
      </c>
      <c r="AB29">
        <f>IF(AB26&gt;=AB28,"✓","△")</f>
        <v/>
      </c>
      <c r="AC29">
        <f>IF(AC26&gt;=AC28,"✓","△")</f>
        <v/>
      </c>
      <c r="AD29">
        <f>IF(AD26&gt;=AD28,"✓","△")</f>
        <v/>
      </c>
      <c r="AE29">
        <f>IF(AE26&gt;=AE28,"✓","△")</f>
        <v/>
      </c>
      <c r="AF29">
        <f>IF(AF26&gt;=AF28,"✓","△")</f>
        <v/>
      </c>
      <c r="AG29">
        <f>IF(AG26&gt;=AG28,"✓","△")</f>
        <v/>
      </c>
      <c r="AH29">
        <f>IF(AH26&gt;=AH28,"✓","△")</f>
        <v/>
      </c>
      <c r="AI29">
        <f>IF(AI26&gt;=AI28,"✓","△")</f>
        <v/>
      </c>
      <c r="AJ29">
        <f>IF(AJ26&gt;=AJ28,"✓","△")</f>
        <v/>
      </c>
      <c r="AK29">
        <f>IF(AK26&gt;=AK28,"✓","△")</f>
        <v/>
      </c>
    </row>
    <row r="30">
      <c r="A30" t="inlineStr">
        <is>
          <t>元金返済（据置M1-M12・M13〜均等60回・月33万円）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>
        <f>ROUND(前提条件!B62/60,0)</f>
        <v/>
      </c>
      <c r="O30">
        <f>ROUND(前提条件!B62/60,0)</f>
        <v/>
      </c>
      <c r="P30">
        <f>ROUND(前提条件!B62/60,0)</f>
        <v/>
      </c>
      <c r="Q30">
        <f>ROUND(前提条件!B62/60,0)</f>
        <v/>
      </c>
      <c r="R30">
        <f>ROUND(前提条件!B62/60,0)</f>
        <v/>
      </c>
      <c r="S30">
        <f>ROUND(前提条件!B62/60,0)</f>
        <v/>
      </c>
      <c r="T30">
        <f>ROUND(前提条件!B62/60,0)</f>
        <v/>
      </c>
      <c r="U30">
        <f>ROUND(前提条件!B62/60,0)</f>
        <v/>
      </c>
      <c r="V30">
        <f>ROUND(前提条件!B62/60,0)</f>
        <v/>
      </c>
      <c r="W30">
        <f>ROUND(前提条件!B62/60,0)</f>
        <v/>
      </c>
      <c r="X30">
        <f>ROUND(前提条件!B62/60,0)</f>
        <v/>
      </c>
      <c r="Y30">
        <f>ROUND(前提条件!B62/60,0)</f>
        <v/>
      </c>
      <c r="Z30">
        <f>ROUND(前提条件!B62/60,0)</f>
        <v/>
      </c>
      <c r="AA30">
        <f>ROUND(前提条件!B62/60,0)</f>
        <v/>
      </c>
      <c r="AB30">
        <f>ROUND(前提条件!B62/60,0)</f>
        <v/>
      </c>
      <c r="AC30">
        <f>ROUND(前提条件!B62/60,0)</f>
        <v/>
      </c>
      <c r="AD30">
        <f>ROUND(前提条件!B62/60,0)</f>
        <v/>
      </c>
      <c r="AE30">
        <f>ROUND(前提条件!B62/60,0)</f>
        <v/>
      </c>
      <c r="AF30">
        <f>ROUND(前提条件!B62/60,0)</f>
        <v/>
      </c>
      <c r="AG30">
        <f>ROUND(前提条件!B62/60,0)</f>
        <v/>
      </c>
      <c r="AH30">
        <f>ROUND(前提条件!B62/60,0)</f>
        <v/>
      </c>
      <c r="AI30">
        <f>ROUND(前提条件!B62/60,0)</f>
        <v/>
      </c>
      <c r="AJ30">
        <f>ROUND(前提条件!B62/60,0)</f>
        <v/>
      </c>
      <c r="AK30">
        <f>ROUND(前提条件!B62/60,0)</f>
        <v/>
      </c>
    </row>
    <row r="31">
      <c r="A31" t="inlineStr">
        <is>
          <t>参考: Y2法人税 一括支払タイミング（M26 = Y2決算2ヶ月後） ─ Row26には未反映。M26のRow26残高からこの額を追加減算して確認。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>
        <f>-前提条件!C66</f>
        <v/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v4.8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 ht="28" customHeight="1">
      <c r="A1" s="59" t="inlineStr">
        <is>
          <t>UNLID ベースシナリオ比較 v5.0  ─  期中平均ヘッドカウント適用  |  超保守モデルとの比較</t>
        </is>
      </c>
    </row>
    <row r="2" ht="30" customHeight="1">
      <c r="A2" s="60" t="inlineStr">
        <is>
          <t>★ 超保守モデル（本体PL）：期末HC×12ヶ月でコスト計上。ベースシナリオ：期中平均HC×12ヶ月で計上。売上・COGS・採用費・固定費は両シナリオ共通。</t>
        </is>
      </c>
    </row>
    <row r="4" ht="22" customHeight="1">
      <c r="A4" s="61" t="inlineStr">
        <is>
          <t>① 期中平均ヘッドカウント（役職別）  ─  (期首HC + 期末HC) ÷ 2</t>
        </is>
      </c>
    </row>
    <row r="5" ht="36" customHeight="1">
      <c r="A5" s="62" t="inlineStr">
        <is>
          <t>役職</t>
        </is>
      </c>
      <c r="B5" s="63" t="inlineStr">
        <is>
          <t>Y1期末HC
（保守）</t>
        </is>
      </c>
      <c r="C5" s="63" t="inlineStr">
        <is>
          <t>Y1期中平均
（ベース）</t>
        </is>
      </c>
      <c r="D5" s="63" t="inlineStr">
        <is>
          <t>Y2期末HC
（保守）</t>
        </is>
      </c>
      <c r="E5" s="63" t="inlineStr">
        <is>
          <t>Y2期中平均
（ベース）</t>
        </is>
      </c>
      <c r="F5" s="63" t="inlineStr">
        <is>
          <t>Y3期末HC
（保守）</t>
        </is>
      </c>
      <c r="G5" s="63" t="inlineStr">
        <is>
          <t>Y3期中平均
（ベース）</t>
        </is>
      </c>
    </row>
    <row r="6">
      <c r="A6" s="64" t="inlineStr">
        <is>
          <t>CEO / 創業者</t>
        </is>
      </c>
      <c r="B6" s="65">
        <f>人員計画!D15</f>
        <v/>
      </c>
      <c r="C6" s="66">
        <f>ROUND((人員計画!B15+人員計画!D15)/2,1)</f>
        <v/>
      </c>
      <c r="D6" s="65">
        <f>人員計画!F15</f>
        <v/>
      </c>
      <c r="E6" s="66">
        <f>ROUND((人員計画!D15+人員計画!F15)/2,1)</f>
        <v/>
      </c>
      <c r="F6" s="65">
        <f>人員計画!H15</f>
        <v/>
      </c>
      <c r="G6" s="66">
        <f>ROUND((人員計画!F15+人員計画!H15)/2,1)</f>
        <v/>
      </c>
    </row>
    <row r="7">
      <c r="A7" s="67" t="inlineStr">
        <is>
          <t>FDE（フラクショナルFDE）</t>
        </is>
      </c>
      <c r="B7" s="68">
        <f>人員計画!D16</f>
        <v/>
      </c>
      <c r="C7" s="66">
        <f>ROUND((人員計画!B16+人員計画!D16)/2,1)</f>
        <v/>
      </c>
      <c r="D7" s="68">
        <f>人員計画!F16</f>
        <v/>
      </c>
      <c r="E7" s="66">
        <f>ROUND((人員計画!D16+人員計画!F16)/2,1)</f>
        <v/>
      </c>
      <c r="F7" s="68">
        <f>人員計画!H16</f>
        <v/>
      </c>
      <c r="G7" s="66">
        <f>ROUND((人員計画!F16+人員計画!H16)/2,1)</f>
        <v/>
      </c>
    </row>
    <row r="8">
      <c r="A8" s="64" t="inlineStr">
        <is>
          <t>CSM（カスタマーサクセス）</t>
        </is>
      </c>
      <c r="B8" s="65">
        <f>人員計画!D17</f>
        <v/>
      </c>
      <c r="C8" s="66">
        <f>ROUND((人員計画!B17+人員計画!D17)/2,1)</f>
        <v/>
      </c>
      <c r="D8" s="65">
        <f>人員計画!F17</f>
        <v/>
      </c>
      <c r="E8" s="66">
        <f>ROUND((人員計画!D17+人員計画!F17)/2,1)</f>
        <v/>
      </c>
      <c r="F8" s="65">
        <f>人員計画!H17</f>
        <v/>
      </c>
      <c r="G8" s="66">
        <f>ROUND((人員計画!F17+人員計画!H17)/2,1)</f>
        <v/>
      </c>
    </row>
    <row r="9">
      <c r="A9" s="67" t="inlineStr">
        <is>
          <t>PM（プロジェクトMgr）</t>
        </is>
      </c>
      <c r="B9" s="68">
        <f>人員計画!D18</f>
        <v/>
      </c>
      <c r="C9" s="66">
        <f>ROUND((人員計画!B18+人員計画!D18)/2,1)</f>
        <v/>
      </c>
      <c r="D9" s="68">
        <f>人員計画!F18</f>
        <v/>
      </c>
      <c r="E9" s="66">
        <f>ROUND((人員計画!D18+人員計画!F18)/2,1)</f>
        <v/>
      </c>
      <c r="F9" s="68">
        <f>人員計画!H18</f>
        <v/>
      </c>
      <c r="G9" s="66">
        <f>ROUND((人員計画!F18+人員計画!H18)/2,1)</f>
        <v/>
      </c>
    </row>
    <row r="10">
      <c r="A10" s="64" t="inlineStr">
        <is>
          <t>AIエンジニア</t>
        </is>
      </c>
      <c r="B10" s="65">
        <f>人員計画!D19</f>
        <v/>
      </c>
      <c r="C10" s="66">
        <f>ROUND((人員計画!B19+人員計画!D19)/2,1)</f>
        <v/>
      </c>
      <c r="D10" s="65">
        <f>人員計画!F19</f>
        <v/>
      </c>
      <c r="E10" s="66">
        <f>ROUND((人員計画!D19+人員計画!F19)/2,1)</f>
        <v/>
      </c>
      <c r="F10" s="65">
        <f>人員計画!H19</f>
        <v/>
      </c>
      <c r="G10" s="66">
        <f>ROUND((人員計画!F19+人員計画!H19)/2,1)</f>
        <v/>
      </c>
    </row>
    <row r="11">
      <c r="A11" s="67" t="inlineStr">
        <is>
          <t>Admin / BizDev</t>
        </is>
      </c>
      <c r="B11" s="68">
        <f>人員計画!D20</f>
        <v/>
      </c>
      <c r="C11" s="66">
        <f>ROUND((人員計画!B20+人員計画!D20)/2,1)</f>
        <v/>
      </c>
      <c r="D11" s="68">
        <f>人員計画!F20</f>
        <v/>
      </c>
      <c r="E11" s="66">
        <f>ROUND((人員計画!D20+人員計画!F20)/2,1)</f>
        <v/>
      </c>
      <c r="F11" s="68">
        <f>人員計画!H20</f>
        <v/>
      </c>
      <c r="G11" s="66">
        <f>ROUND((人員計画!F20+人員計画!H20)/2,1)</f>
        <v/>
      </c>
    </row>
    <row r="12" ht="18" customHeight="1">
      <c r="A12" s="69" t="inlineStr">
        <is>
          <t>合計（人）</t>
        </is>
      </c>
      <c r="B12" s="70">
        <f>人員計画!D21</f>
        <v/>
      </c>
      <c r="C12" s="71">
        <f>ROUND(SUM(C6:C11),1)</f>
        <v/>
      </c>
      <c r="D12" s="70">
        <f>人員計画!F21</f>
        <v/>
      </c>
      <c r="E12" s="71">
        <f>ROUND(SUM(E6:E11),1)</f>
        <v/>
      </c>
      <c r="F12" s="70">
        <f>人員計画!H21</f>
        <v/>
      </c>
      <c r="G12" s="71">
        <f>ROUND(SUM(G6:G11),1)</f>
        <v/>
      </c>
      <c r="H12" s="72" t="n"/>
      <c r="I12" s="72" t="n"/>
      <c r="J12" s="72" t="n"/>
    </row>
    <row r="14" ht="22" customHeight="1">
      <c r="A14" s="61" t="inlineStr">
        <is>
          <t>② 人件費比較（万円）  ─  月額給与 × (1+15%) × 12ヶ月 × ヘッドカウント</t>
        </is>
      </c>
    </row>
    <row r="15" ht="18" customHeight="1">
      <c r="A15" s="62" t="inlineStr">
        <is>
          <t>役職</t>
        </is>
      </c>
      <c r="B15" s="63" t="inlineStr">
        <is>
          <t>超保守 Y1</t>
        </is>
      </c>
      <c r="C15" s="63" t="inlineStr">
        <is>
          <t>ベース Y1</t>
        </is>
      </c>
      <c r="D15" s="63" t="inlineStr">
        <is>
          <t>差額 Y1</t>
        </is>
      </c>
      <c r="E15" s="63" t="inlineStr">
        <is>
          <t>超保守 Y2</t>
        </is>
      </c>
      <c r="F15" s="63" t="inlineStr">
        <is>
          <t>ベース Y2</t>
        </is>
      </c>
      <c r="G15" s="63" t="inlineStr">
        <is>
          <t>差額 Y2</t>
        </is>
      </c>
      <c r="H15" s="63" t="inlineStr">
        <is>
          <t>超保守 Y3</t>
        </is>
      </c>
      <c r="I15" s="63" t="inlineStr">
        <is>
          <t>ベース Y3</t>
        </is>
      </c>
      <c r="J15" s="63" t="inlineStr">
        <is>
          <t>差額 Y3</t>
        </is>
      </c>
    </row>
    <row r="16">
      <c r="A16" s="64" t="inlineStr">
        <is>
          <t>CEO / 創業者</t>
        </is>
      </c>
      <c r="B16" s="73">
        <f>人員計画!D26</f>
        <v/>
      </c>
      <c r="C16" s="74">
        <f>ROUND(人員計画!B6*(1+人員計画!C6)*12*(人員計画!B15+人員計画!D15)/2,0)</f>
        <v/>
      </c>
      <c r="D16" s="75">
        <f>C16-B16</f>
        <v/>
      </c>
      <c r="E16" s="73">
        <f>人員計画!E26</f>
        <v/>
      </c>
      <c r="F16" s="74">
        <f>ROUND(人員計画!B6*(1+人員計画!C6)*12*(人員計画!D15+人員計画!F15)/2,0)</f>
        <v/>
      </c>
      <c r="G16" s="75">
        <f>F16-E16</f>
        <v/>
      </c>
      <c r="H16" s="73">
        <f>人員計画!F26</f>
        <v/>
      </c>
      <c r="I16" s="74">
        <f>ROUND(人員計画!B6*(1+人員計画!C6)*12*(人員計画!F15+人員計画!H15)/2,0)</f>
        <v/>
      </c>
      <c r="J16" s="75">
        <f>I16-H16</f>
        <v/>
      </c>
    </row>
    <row r="17">
      <c r="A17" s="67" t="inlineStr">
        <is>
          <t>FDE（フラクショナルFDE）</t>
        </is>
      </c>
      <c r="B17" s="76">
        <f>人員計画!D27</f>
        <v/>
      </c>
      <c r="C17" s="74">
        <f>ROUND(人員計画!B7*(1+人員計画!C7)*12*(人員計画!B16+人員計画!D16)/2,0)</f>
        <v/>
      </c>
      <c r="D17" s="75">
        <f>C17-B17</f>
        <v/>
      </c>
      <c r="E17" s="76">
        <f>人員計画!E27</f>
        <v/>
      </c>
      <c r="F17" s="74">
        <f>ROUND(人員計画!B7*(1+人員計画!C7)*12*(人員計画!D16+人員計画!F16)/2,0)</f>
        <v/>
      </c>
      <c r="G17" s="75">
        <f>F17-E17</f>
        <v/>
      </c>
      <c r="H17" s="76">
        <f>人員計画!F27</f>
        <v/>
      </c>
      <c r="I17" s="74">
        <f>ROUND(人員計画!B7*(1+人員計画!C7)*12*(人員計画!F16+人員計画!H16)/2,0)</f>
        <v/>
      </c>
      <c r="J17" s="75">
        <f>I17-H17</f>
        <v/>
      </c>
    </row>
    <row r="18">
      <c r="A18" s="64" t="inlineStr">
        <is>
          <t>CSM（カスタマーサクセス）</t>
        </is>
      </c>
      <c r="B18" s="73">
        <f>人員計画!D28</f>
        <v/>
      </c>
      <c r="C18" s="74">
        <f>ROUND(人員計画!B8*(1+人員計画!C8)*12*(人員計画!B17+人員計画!D17)/2,0)</f>
        <v/>
      </c>
      <c r="D18" s="75">
        <f>C18-B18</f>
        <v/>
      </c>
      <c r="E18" s="73">
        <f>人員計画!E28</f>
        <v/>
      </c>
      <c r="F18" s="74">
        <f>ROUND(人員計画!B8*(1+人員計画!C8)*12*(人員計画!D17+人員計画!F17)/2,0)</f>
        <v/>
      </c>
      <c r="G18" s="75">
        <f>F18-E18</f>
        <v/>
      </c>
      <c r="H18" s="73">
        <f>人員計画!F28</f>
        <v/>
      </c>
      <c r="I18" s="74">
        <f>ROUND(人員計画!B8*(1+人員計画!C8)*12*(人員計画!F17+人員計画!H17)/2,0)</f>
        <v/>
      </c>
      <c r="J18" s="75">
        <f>I18-H18</f>
        <v/>
      </c>
    </row>
    <row r="19">
      <c r="A19" s="67" t="inlineStr">
        <is>
          <t>PM（プロジェクトMgr）</t>
        </is>
      </c>
      <c r="B19" s="76">
        <f>人員計画!D29</f>
        <v/>
      </c>
      <c r="C19" s="74">
        <f>ROUND(人員計画!B9*(1+人員計画!C9)*12*(人員計画!B18+人員計画!D18)/2,0)</f>
        <v/>
      </c>
      <c r="D19" s="75">
        <f>C19-B19</f>
        <v/>
      </c>
      <c r="E19" s="76">
        <f>人員計画!E29</f>
        <v/>
      </c>
      <c r="F19" s="74">
        <f>ROUND(人員計画!B9*(1+人員計画!C9)*12*(人員計画!D18+人員計画!F18)/2,0)</f>
        <v/>
      </c>
      <c r="G19" s="75">
        <f>F19-E19</f>
        <v/>
      </c>
      <c r="H19" s="76">
        <f>人員計画!F29</f>
        <v/>
      </c>
      <c r="I19" s="74">
        <f>ROUND(人員計画!B9*(1+人員計画!C9)*12*(人員計画!F18+人員計画!H18)/2,0)</f>
        <v/>
      </c>
      <c r="J19" s="75">
        <f>I19-H19</f>
        <v/>
      </c>
    </row>
    <row r="20">
      <c r="A20" s="64" t="inlineStr">
        <is>
          <t>AIエンジニア</t>
        </is>
      </c>
      <c r="B20" s="73">
        <f>人員計画!D30</f>
        <v/>
      </c>
      <c r="C20" s="74">
        <f>ROUND(人員計画!B10*(1+人員計画!C10)*12*(人員計画!B19+人員計画!D19)/2,0)</f>
        <v/>
      </c>
      <c r="D20" s="75">
        <f>C20-B20</f>
        <v/>
      </c>
      <c r="E20" s="73">
        <f>人員計画!E30</f>
        <v/>
      </c>
      <c r="F20" s="74">
        <f>ROUND(人員計画!B10*(1+人員計画!C10)*12*(人員計画!D19+人員計画!F19)/2,0)</f>
        <v/>
      </c>
      <c r="G20" s="75">
        <f>F20-E20</f>
        <v/>
      </c>
      <c r="H20" s="73">
        <f>人員計画!F30</f>
        <v/>
      </c>
      <c r="I20" s="74">
        <f>ROUND(人員計画!B10*(1+人員計画!C10)*12*(人員計画!F19+人員計画!H19)/2,0)</f>
        <v/>
      </c>
      <c r="J20" s="75">
        <f>I20-H20</f>
        <v/>
      </c>
    </row>
    <row r="21">
      <c r="A21" s="67" t="inlineStr">
        <is>
          <t>Admin / BizDev</t>
        </is>
      </c>
      <c r="B21" s="76">
        <f>人員計画!D31</f>
        <v/>
      </c>
      <c r="C21" s="74">
        <f>ROUND(人員計画!B11*(1+人員計画!C11)*12*(人員計画!B20+人員計画!D20)/2,0)</f>
        <v/>
      </c>
      <c r="D21" s="75">
        <f>C21-B21</f>
        <v/>
      </c>
      <c r="E21" s="76">
        <f>人員計画!E31</f>
        <v/>
      </c>
      <c r="F21" s="74">
        <f>ROUND(人員計画!B11*(1+人員計画!C11)*12*(人員計画!D20+人員計画!F20)/2,0)</f>
        <v/>
      </c>
      <c r="G21" s="75">
        <f>F21-E21</f>
        <v/>
      </c>
      <c r="H21" s="76">
        <f>人員計画!F31</f>
        <v/>
      </c>
      <c r="I21" s="74">
        <f>ROUND(人員計画!B11*(1+人員計画!C11)*12*(人員計画!F20+人員計画!H20)/2,0)</f>
        <v/>
      </c>
      <c r="J21" s="75">
        <f>I21-H21</f>
        <v/>
      </c>
    </row>
    <row r="22" ht="18" customHeight="1">
      <c r="A22" s="69" t="inlineStr">
        <is>
          <t>人件費合計（万円）</t>
        </is>
      </c>
      <c r="B22" s="77">
        <f>人員計画!D32</f>
        <v/>
      </c>
      <c r="C22" s="78">
        <f>SUM(C16:C21)</f>
        <v/>
      </c>
      <c r="D22" s="77">
        <f>C22-B22</f>
        <v/>
      </c>
      <c r="E22" s="77">
        <f>人員計画!E32</f>
        <v/>
      </c>
      <c r="F22" s="78">
        <f>SUM(F16:F21)</f>
        <v/>
      </c>
      <c r="G22" s="77">
        <f>F22-E22</f>
        <v/>
      </c>
      <c r="H22" s="77">
        <f>人員計画!F32</f>
        <v/>
      </c>
      <c r="I22" s="78">
        <f>SUM(I16:I21)</f>
        <v/>
      </c>
      <c r="J22" s="77">
        <f>I22-H22</f>
        <v/>
      </c>
    </row>
    <row r="24" ht="22" customHeight="1">
      <c r="A24" s="61" t="inlineStr">
        <is>
          <t>③ 調整済みPL比較（万円）  ─  売上・COGS・採用費・固定費は同一。人件費のみ異なる。</t>
        </is>
      </c>
    </row>
    <row r="25" ht="18" customHeight="1">
      <c r="A25" s="62" t="inlineStr">
        <is>
          <t>項目</t>
        </is>
      </c>
      <c r="B25" s="63" t="inlineStr">
        <is>
          <t>超保守 Y1</t>
        </is>
      </c>
      <c r="C25" s="63" t="inlineStr">
        <is>
          <t>ベース Y1</t>
        </is>
      </c>
      <c r="D25" s="63" t="inlineStr">
        <is>
          <t>差額 Y1</t>
        </is>
      </c>
      <c r="E25" s="63" t="inlineStr">
        <is>
          <t>超保守 Y2</t>
        </is>
      </c>
      <c r="F25" s="63" t="inlineStr">
        <is>
          <t>ベース Y2</t>
        </is>
      </c>
      <c r="G25" s="63" t="inlineStr">
        <is>
          <t>差額 Y2</t>
        </is>
      </c>
      <c r="H25" s="63" t="inlineStr">
        <is>
          <t>超保守 Y3</t>
        </is>
      </c>
      <c r="I25" s="63" t="inlineStr">
        <is>
          <t>ベース Y3</t>
        </is>
      </c>
      <c r="J25" s="63" t="inlineStr">
        <is>
          <t>差額 Y3</t>
        </is>
      </c>
    </row>
    <row r="26">
      <c r="A26" s="79" t="inlineStr">
        <is>
          <t>売上合計</t>
        </is>
      </c>
      <c r="B26" s="75">
        <f>前提条件!B15</f>
        <v/>
      </c>
      <c r="C26" s="74">
        <f>前提条件!B15</f>
        <v/>
      </c>
      <c r="D26" s="75">
        <f>C26-B26</f>
        <v/>
      </c>
      <c r="E26" s="75">
        <f>前提条件!C15</f>
        <v/>
      </c>
      <c r="F26" s="74">
        <f>前提条件!C15</f>
        <v/>
      </c>
      <c r="G26" s="75">
        <f>F26-E26</f>
        <v/>
      </c>
      <c r="H26" s="75">
        <f>前提条件!D15</f>
        <v/>
      </c>
      <c r="I26" s="74">
        <f>前提条件!D15</f>
        <v/>
      </c>
      <c r="J26" s="75">
        <f>I26-H26</f>
        <v/>
      </c>
    </row>
    <row r="27">
      <c r="A27" s="79" t="inlineStr">
        <is>
          <t>COGS合計</t>
        </is>
      </c>
      <c r="B27" s="75">
        <f>前提条件!B25</f>
        <v/>
      </c>
      <c r="C27" s="74">
        <f>前提条件!B25</f>
        <v/>
      </c>
      <c r="D27" s="75">
        <f>C27-B27</f>
        <v/>
      </c>
      <c r="E27" s="75">
        <f>前提条件!C25</f>
        <v/>
      </c>
      <c r="F27" s="74">
        <f>前提条件!C25</f>
        <v/>
      </c>
      <c r="G27" s="75">
        <f>F27-E27</f>
        <v/>
      </c>
      <c r="H27" s="75">
        <f>前提条件!D25</f>
        <v/>
      </c>
      <c r="I27" s="74">
        <f>前提条件!D25</f>
        <v/>
      </c>
      <c r="J27" s="75">
        <f>I27-H27</f>
        <v/>
      </c>
    </row>
    <row r="28">
      <c r="A28" s="80" t="inlineStr">
        <is>
          <t>売上総利益</t>
        </is>
      </c>
      <c r="B28" s="81">
        <f>前提条件!B26</f>
        <v/>
      </c>
      <c r="C28" s="78">
        <f>前提条件!B26</f>
        <v/>
      </c>
      <c r="D28" s="75">
        <f>C28-B28</f>
        <v/>
      </c>
      <c r="E28" s="81">
        <f>前提条件!C26</f>
        <v/>
      </c>
      <c r="F28" s="78">
        <f>前提条件!C26</f>
        <v/>
      </c>
      <c r="G28" s="75">
        <f>F28-E28</f>
        <v/>
      </c>
      <c r="H28" s="81">
        <f>前提条件!D26</f>
        <v/>
      </c>
      <c r="I28" s="78">
        <f>前提条件!D26</f>
        <v/>
      </c>
      <c r="J28" s="75">
        <f>I28-H28</f>
        <v/>
      </c>
    </row>
    <row r="29">
      <c r="A29" s="67" t="inlineStr">
        <is>
          <t>人件費（人員費）</t>
        </is>
      </c>
      <c r="B29" s="76">
        <f>人員計画!D32</f>
        <v/>
      </c>
      <c r="C29" s="74">
        <f>C22</f>
        <v/>
      </c>
      <c r="D29" s="75">
        <f>C29-B29</f>
        <v/>
      </c>
      <c r="E29" s="76">
        <f>人員計画!E32</f>
        <v/>
      </c>
      <c r="F29" s="74">
        <f>F22</f>
        <v/>
      </c>
      <c r="G29" s="75">
        <f>F29-E29</f>
        <v/>
      </c>
      <c r="H29" s="76">
        <f>人員計画!F32</f>
        <v/>
      </c>
      <c r="I29" s="74">
        <f>I22</f>
        <v/>
      </c>
      <c r="J29" s="75">
        <f>I29-H29</f>
        <v/>
      </c>
    </row>
    <row r="30">
      <c r="A30" s="79" t="inlineStr">
        <is>
          <t>SG&amp;A合計</t>
        </is>
      </c>
      <c r="B30" s="75">
        <f>前提条件!B39</f>
        <v/>
      </c>
      <c r="C30" s="74">
        <f>B30-B29+C29</f>
        <v/>
      </c>
      <c r="D30" s="75">
        <f>C30-B30</f>
        <v/>
      </c>
      <c r="E30" s="75">
        <f>前提条件!C39</f>
        <v/>
      </c>
      <c r="F30" s="74">
        <f>E30-E29+F29</f>
        <v/>
      </c>
      <c r="G30" s="75">
        <f>F30-E30</f>
        <v/>
      </c>
      <c r="H30" s="75">
        <f>前提条件!D39</f>
        <v/>
      </c>
      <c r="I30" s="74">
        <f>H30-H29+I29</f>
        <v/>
      </c>
      <c r="J30" s="75">
        <f>I30-H30</f>
        <v/>
      </c>
    </row>
    <row r="31">
      <c r="A31" s="80" t="inlineStr">
        <is>
          <t>営業利益</t>
        </is>
      </c>
      <c r="B31" s="81">
        <f>前提条件!B40</f>
        <v/>
      </c>
      <c r="C31" s="78">
        <f>C28-C30</f>
        <v/>
      </c>
      <c r="D31" s="75">
        <f>C31-B31</f>
        <v/>
      </c>
      <c r="E31" s="81">
        <f>前提条件!C40</f>
        <v/>
      </c>
      <c r="F31" s="78">
        <f>F28-F30</f>
        <v/>
      </c>
      <c r="G31" s="75">
        <f>F31-E31</f>
        <v/>
      </c>
      <c r="H31" s="81">
        <f>前提条件!D40</f>
        <v/>
      </c>
      <c r="I31" s="78">
        <f>I28-I30</f>
        <v/>
      </c>
      <c r="J31" s="75">
        <f>I31-H31</f>
        <v/>
      </c>
    </row>
    <row r="32">
      <c r="A32" s="67" t="inlineStr">
        <is>
          <t>減価償却費</t>
        </is>
      </c>
      <c r="B32" s="76">
        <f>前提条件!B54</f>
        <v/>
      </c>
      <c r="C32" s="74">
        <f>前提条件!B54</f>
        <v/>
      </c>
      <c r="D32" s="75">
        <f>C32-B32</f>
        <v/>
      </c>
      <c r="E32" s="76">
        <f>前提条件!C54</f>
        <v/>
      </c>
      <c r="F32" s="74">
        <f>前提条件!C54</f>
        <v/>
      </c>
      <c r="G32" s="75">
        <f>F32-E32</f>
        <v/>
      </c>
      <c r="H32" s="76">
        <f>前提条件!D54</f>
        <v/>
      </c>
      <c r="I32" s="74">
        <f>前提条件!D54</f>
        <v/>
      </c>
      <c r="J32" s="75">
        <f>I32-H32</f>
        <v/>
      </c>
    </row>
    <row r="33">
      <c r="A33" s="80" t="inlineStr">
        <is>
          <t>EBITDA</t>
        </is>
      </c>
      <c r="B33" s="81">
        <f>前提条件!B103</f>
        <v/>
      </c>
      <c r="C33" s="78">
        <f>C31+C32</f>
        <v/>
      </c>
      <c r="D33" s="75">
        <f>C33-B33</f>
        <v/>
      </c>
      <c r="E33" s="81">
        <f>前提条件!C103</f>
        <v/>
      </c>
      <c r="F33" s="78">
        <f>F31+F32</f>
        <v/>
      </c>
      <c r="G33" s="75">
        <f>F33-E33</f>
        <v/>
      </c>
      <c r="H33" s="81">
        <f>前提条件!D103</f>
        <v/>
      </c>
      <c r="I33" s="78">
        <f>I31+I32</f>
        <v/>
      </c>
      <c r="J33" s="75">
        <f>I33-H33</f>
        <v/>
      </c>
    </row>
    <row r="35" ht="22" customHeight="1">
      <c r="A35" s="61" t="inlineStr">
        <is>
          <t>④ DSCR比較  ─  銀行が最重視。目安: 1.2倍以上=健全、1.5倍以上=優良</t>
        </is>
      </c>
    </row>
    <row r="36" ht="18" customHeight="1">
      <c r="A36" s="62" t="inlineStr">
        <is>
          <t>項目</t>
        </is>
      </c>
      <c r="B36" s="63" t="inlineStr">
        <is>
          <t>超保守 Y1</t>
        </is>
      </c>
      <c r="C36" s="63" t="inlineStr">
        <is>
          <t>ベース Y1</t>
        </is>
      </c>
      <c r="D36" s="63" t="inlineStr">
        <is>
          <t>超保守 Y2</t>
        </is>
      </c>
      <c r="E36" s="63" t="inlineStr">
        <is>
          <t>ベース Y2</t>
        </is>
      </c>
      <c r="F36" s="63" t="inlineStr">
        <is>
          <t>超保守 Y3</t>
        </is>
      </c>
      <c r="G36" s="63" t="inlineStr">
        <is>
          <t>ベース Y3</t>
        </is>
      </c>
    </row>
    <row r="37">
      <c r="A37" s="64" t="inlineStr">
        <is>
          <t>EBITDA（万円）</t>
        </is>
      </c>
      <c r="B37" s="73">
        <f>前提条件!B103</f>
        <v/>
      </c>
      <c r="C37" s="74">
        <f>C33</f>
        <v/>
      </c>
      <c r="D37" s="75">
        <f>前提条件!C103</f>
        <v/>
      </c>
      <c r="E37" s="74">
        <f>F33</f>
        <v/>
      </c>
      <c r="F37" s="75">
        <f>前提条件!D103</f>
        <v/>
      </c>
      <c r="G37" s="74">
        <f>I33</f>
        <v/>
      </c>
    </row>
    <row r="38">
      <c r="A38" s="67" t="inlineStr">
        <is>
          <t>年間元金返済</t>
        </is>
      </c>
      <c r="B38" s="76">
        <f>前提条件!B104</f>
        <v/>
      </c>
      <c r="C38" s="74">
        <f>前提条件!B104</f>
        <v/>
      </c>
      <c r="D38" s="75">
        <f>前提条件!C104</f>
        <v/>
      </c>
      <c r="E38" s="74">
        <f>前提条件!C104</f>
        <v/>
      </c>
      <c r="F38" s="75">
        <f>前提条件!D104</f>
        <v/>
      </c>
      <c r="G38" s="74">
        <f>前提条件!D104</f>
        <v/>
      </c>
    </row>
    <row r="39">
      <c r="A39" s="67" t="inlineStr">
        <is>
          <t>年間支払利息</t>
        </is>
      </c>
      <c r="B39" s="76">
        <f>前提条件!B105</f>
        <v/>
      </c>
      <c r="C39" s="74">
        <f>前提条件!B105</f>
        <v/>
      </c>
      <c r="D39" s="75">
        <f>前提条件!C105</f>
        <v/>
      </c>
      <c r="E39" s="74">
        <f>前提条件!C105</f>
        <v/>
      </c>
      <c r="F39" s="75">
        <f>前提条件!D105</f>
        <v/>
      </c>
      <c r="G39" s="74">
        <f>前提条件!D105</f>
        <v/>
      </c>
    </row>
    <row r="40">
      <c r="A40" s="67" t="inlineStr">
        <is>
          <t>返済合計（万円）</t>
        </is>
      </c>
      <c r="B40" s="76">
        <f>前提条件!B106</f>
        <v/>
      </c>
      <c r="C40" s="74">
        <f>前提条件!B106</f>
        <v/>
      </c>
      <c r="D40" s="75">
        <f>前提条件!C106</f>
        <v/>
      </c>
      <c r="E40" s="74">
        <f>前提条件!C106</f>
        <v/>
      </c>
      <c r="F40" s="75">
        <f>前提条件!D106</f>
        <v/>
      </c>
      <c r="G40" s="74">
        <f>前提条件!D106</f>
        <v/>
      </c>
    </row>
    <row r="41" ht="20" customHeight="1">
      <c r="A41" s="69" t="inlineStr">
        <is>
          <t>★ DSCR</t>
        </is>
      </c>
      <c r="B41" s="82">
        <f>IF(B37&gt;0,ROUND(B37/B40,2),"N/A")</f>
        <v/>
      </c>
      <c r="C41" s="83">
        <f>IF(C37&gt;0,ROUND(C37/C40,2),"N/A")</f>
        <v/>
      </c>
      <c r="D41" s="82">
        <f>IF(D37&gt;0,ROUND(D37/D40,2),"N/A")</f>
        <v/>
      </c>
      <c r="E41" s="83">
        <f>IF(E37&gt;0,ROUND(E37/E40,2),"N/A")</f>
        <v/>
      </c>
      <c r="F41" s="82">
        <f>IF(F37&gt;0,ROUND(F37/F40,2),"N/A")</f>
        <v/>
      </c>
      <c r="G41" s="83">
        <f>IF(G37&gt;0,ROUND(G37/G40,2),"N/A")</f>
        <v/>
      </c>
    </row>
    <row r="42" ht="18" customHeight="1">
      <c r="A42" s="84" t="inlineStr">
        <is>
          <t>判定</t>
        </is>
      </c>
      <c r="B42" s="85">
        <f>IF(ISNUMBER(B41),IF(B41&gt;=1.5,"◎優良(1.5x+)",IF(B41&gt;=1.2,"✓健全(1.2x+)","△要改善")),"─ 成長期赤字")</f>
        <v/>
      </c>
      <c r="C42" s="86">
        <f>IF(ISNUMBER(C41),IF(C41&gt;=1.5,"◎優良(1.5x+)",IF(C41&gt;=1.2,"✓健全(1.2x+)","△要改善")),"─ 成長期赤字")</f>
        <v/>
      </c>
      <c r="D42" s="85">
        <f>IF(ISNUMBER(D41),IF(D41&gt;=1.5,"◎優良(1.5x+)",IF(D41&gt;=1.2,"✓健全(1.2x+)","△要改善")),"─ 成長期赤字")</f>
        <v/>
      </c>
      <c r="E42" s="86">
        <f>IF(ISNUMBER(E41),IF(E41&gt;=1.5,"◎優良(1.5x+)",IF(E41&gt;=1.2,"✓健全(1.2x+)","△要改善")),"─ 成長期赤字")</f>
        <v/>
      </c>
      <c r="F42" s="85">
        <f>IF(ISNUMBER(F41),IF(F41&gt;=1.5,"◎優良(1.5x+)",IF(F41&gt;=1.2,"✓健全(1.2x+)","△要改善")),"─ 成長期赤字")</f>
        <v/>
      </c>
      <c r="G42" s="86">
        <f>IF(ISNUMBER(G41),IF(G41&gt;=1.5,"◎優良(1.5x+)",IF(G41&gt;=1.2,"✓健全(1.2x+)","△要改善")),"─ 成長期赤字")</f>
        <v/>
      </c>
    </row>
    <row r="44" ht="30" customHeight="1">
      <c r="A44" s="60" t="inlineStr">
        <is>
          <t>【注記】ベースシナリオ（黄色セル）は期中平均HC（=(期首HC+期末HC)/2）を使用。採用費・マーケ費・地代等の固定費は両シナリオ共通。超保守（本体PL）との差は人件費のみ。</t>
        </is>
      </c>
    </row>
    <row r="45" ht="30" customHeight="1">
      <c r="A45" s="60" t="inlineStr">
        <is>
          <t>【融資審査活用】本体PLの超保守シナリオで審査通過後、ベースシナリオを「経営計画の中央値」として提示可能。DSCR1.2倍以上（健全）の達成がY2ベース・Y3両シナリオで確認できれば返済能力の説得力が増す。</t>
        </is>
      </c>
    </row>
  </sheetData>
  <mergeCells count="8">
    <mergeCell ref="A44:J44"/>
    <mergeCell ref="A1:J1"/>
    <mergeCell ref="A45:J45"/>
    <mergeCell ref="A14:J14"/>
    <mergeCell ref="A35:J35"/>
    <mergeCell ref="A4:J4"/>
    <mergeCell ref="A24:J2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2026-03-29T19:19:26Z</dcterms:modified>
</cp:coreProperties>
</file>