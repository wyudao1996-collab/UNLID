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PL（損益計算書）" sheetId="2" state="visible" r:id="rId2"/>
    <sheet name="BS（貸借対照表）" sheetId="3" state="visible" r:id="rId3"/>
    <sheet name="CF（キャッシュフロー）" sheetId="4" state="visible" r:id="rId4"/>
    <sheet name="感度分析（強化版）" sheetId="5" state="visible" r:id="rId5"/>
    <sheet name="チャーン月次モデル（★新設）" sheetId="6" state="visible" r:id="rId6"/>
    <sheet name="SME単価市場調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b val="1"/>
      <color rgb="00FFFFFF"/>
      <sz val="10"/>
    </font>
    <font>
      <name val="Meiryo UI"/>
      <b val="1"/>
      <color rgb="00FFFFFF"/>
      <sz val="11"/>
    </font>
    <font>
      <name val="Meiryo UI"/>
      <b val="1"/>
      <color rgb="000F172A"/>
      <sz val="10"/>
    </font>
    <font>
      <name val="Meiryo UI"/>
      <color rgb="00000000"/>
      <sz val="10"/>
    </font>
    <font>
      <name val="Meiryo UI"/>
      <b val="1"/>
      <color rgb="00000000"/>
      <sz val="10"/>
    </font>
    <font>
      <name val="Meiryo UI"/>
      <b val="1"/>
      <color rgb="00555555"/>
      <sz val="10"/>
    </font>
    <font>
      <name val="Meiryo UI"/>
      <b val="1"/>
      <color rgb="0016A34A"/>
      <sz val="10"/>
    </font>
    <font>
      <name val="Meiryo UI"/>
      <b val="1"/>
      <color rgb="00FFFFFF"/>
      <sz val="13"/>
    </font>
    <font>
      <name val="Meiryo UI"/>
      <b val="1"/>
      <color rgb="0092400E"/>
      <sz val="10"/>
    </font>
    <font>
      <name val="Meiryo UI"/>
      <b val="1"/>
      <color rgb="00FFFFFF"/>
      <sz val="12"/>
    </font>
    <font>
      <name val="Meiryo UI"/>
      <b val="1"/>
      <color rgb="00991B1B"/>
      <sz val="10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16A34A"/>
      </patternFill>
    </fill>
    <fill>
      <patternFill patternType="solid">
        <fgColor rgb="00DCFCE7"/>
      </patternFill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3" fontId="6" fillId="7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3" fontId="2" fillId="2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3" fontId="6" fillId="1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6" fillId="6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 ht="30" customHeight="1">
      <c r="A1" s="1" t="inlineStr">
        <is>
          <t>UNLID 財務三表 v4.0 — 前提条件シート（強化版）</t>
        </is>
      </c>
    </row>
    <row r="2">
      <c r="A2" s="2" t="inlineStr">
        <is>
          <t>項目</t>
        </is>
      </c>
      <c r="B2" s="2" t="inlineStr">
        <is>
          <t>Year1 (FY2026)</t>
        </is>
      </c>
      <c r="C2" s="2" t="inlineStr">
        <is>
          <t>Year2 (FY2027)</t>
        </is>
      </c>
      <c r="D2" s="2" t="inlineStr">
        <is>
          <t>Year3 (FY2028)</t>
        </is>
      </c>
      <c r="E2" s="2" t="inlineStr">
        <is>
          <t>備考</t>
        </is>
      </c>
    </row>
    <row r="3">
      <c r="A3" s="3" t="inlineStr">
        <is>
          <t>【A】チャーン・顧客獲得動態（★新設）</t>
        </is>
      </c>
    </row>
    <row r="4">
      <c r="A4" s="4" t="inlineStr">
        <is>
          <t>月次チャーン率（Base）</t>
        </is>
      </c>
      <c r="B4" s="5" t="n">
        <v>0.025</v>
      </c>
      <c r="C4" s="5" t="n">
        <v>0.025</v>
      </c>
      <c r="D4" s="5" t="n">
        <v>0.02</v>
      </c>
      <c r="E4" t="inlineStr">
        <is>
          <t>¥200k帯 年間26%解約。Y3は信頼蓄積で改善</t>
        </is>
      </c>
    </row>
    <row r="5">
      <c r="A5" s="4" t="inlineStr">
        <is>
          <t>年換算チャーン率（参考）</t>
        </is>
      </c>
      <c r="B5" s="5" t="n">
        <v>0.2620016541733491</v>
      </c>
      <c r="C5" s="5" t="n">
        <v>0.2620016541733491</v>
      </c>
      <c r="D5" s="5" t="n">
        <v>0.2152832762652002</v>
      </c>
      <c r="E5">
        <f>(1-(1-月次)^12) で自動計算</f>
        <v/>
      </c>
    </row>
    <row r="6">
      <c r="A6" s="4" t="inlineStr">
        <is>
          <t>期首契約社数</t>
        </is>
      </c>
      <c r="B6" s="6" t="n">
        <v>0</v>
      </c>
      <c r="C6" s="6" t="n">
        <v>10</v>
      </c>
      <c r="D6" s="6" t="n">
        <v>50</v>
      </c>
    </row>
    <row r="7">
      <c r="A7" s="4" t="inlineStr">
        <is>
          <t>期末契約社数（ネット目標）</t>
        </is>
      </c>
      <c r="B7" s="7" t="n">
        <v>10</v>
      </c>
      <c r="C7" s="7" t="n">
        <v>50</v>
      </c>
      <c r="D7" s="7" t="n">
        <v>160</v>
      </c>
    </row>
    <row r="8">
      <c r="A8" s="8" t="inlineStr">
        <is>
          <t xml:space="preserve">　うち年間チャーン予測（社）</t>
        </is>
      </c>
      <c r="B8" s="6" t="n">
        <v>1</v>
      </c>
      <c r="C8" s="6" t="n">
        <v>8</v>
      </c>
      <c r="D8" s="6" t="n">
        <v>23</v>
      </c>
      <c r="E8" t="inlineStr">
        <is>
          <t>平均在籍社数×年間チャーン率</t>
        </is>
      </c>
    </row>
    <row r="9">
      <c r="A9" s="9" t="inlineStr">
        <is>
          <t xml:space="preserve">　グロス新規獲得必要数（社）</t>
        </is>
      </c>
      <c r="B9" s="10" t="n">
        <v>11</v>
      </c>
      <c r="C9" s="10" t="n">
        <v>49</v>
      </c>
      <c r="D9" s="10" t="n">
        <v>133</v>
      </c>
      <c r="E9" t="inlineStr">
        <is>
          <t>ネット増加+チャーン補填 → 営業目標の真の数字</t>
        </is>
      </c>
    </row>
    <row r="10">
      <c r="A10" s="9" t="inlineStr">
        <is>
          <t xml:space="preserve">　月平均グロス新規獲得（社/月）</t>
        </is>
      </c>
      <c r="B10" s="11" t="n">
        <v>0.9</v>
      </c>
      <c r="C10" s="11" t="n">
        <v>4.1</v>
      </c>
      <c r="D10" s="11" t="n">
        <v>11.1</v>
      </c>
      <c r="E10" t="inlineStr">
        <is>
          <t>FDE1名の営業目標の設計に使う</t>
        </is>
      </c>
    </row>
    <row r="12">
      <c r="A12" s="3" t="inlineStr">
        <is>
          <t>【B】売上ドライバー</t>
        </is>
      </c>
    </row>
    <row r="13">
      <c r="A13" s="12" t="inlineStr">
        <is>
          <t>B2B月次顧問（ネット平均社数）</t>
        </is>
      </c>
      <c r="B13" s="6" t="n">
        <v>5</v>
      </c>
      <c r="C13" s="6" t="n">
        <v>30</v>
      </c>
      <c r="D13" s="6" t="n">
        <v>105</v>
      </c>
      <c r="E13">
        <f>(期首+期末)/2 の年間平均</f>
        <v/>
      </c>
    </row>
    <row r="14">
      <c r="A14" s="13" t="inlineStr">
        <is>
          <t xml:space="preserve">　FDE月額単価（万円）</t>
        </is>
      </c>
      <c r="B14" s="6" t="n">
        <v>20</v>
      </c>
      <c r="C14" s="6" t="n">
        <v>23</v>
      </c>
      <c r="D14" s="6" t="n">
        <v>25</v>
      </c>
    </row>
    <row r="15">
      <c r="A15" s="12" t="inlineStr">
        <is>
          <t xml:space="preserve">　B2B売上合計（万円）</t>
        </is>
      </c>
      <c r="B15" s="10" t="n">
        <v>1200</v>
      </c>
      <c r="C15" s="10" t="n">
        <v>8280</v>
      </c>
      <c r="D15" s="10" t="n">
        <v>31500</v>
      </c>
    </row>
    <row r="16">
      <c r="A16" s="13" t="inlineStr">
        <is>
          <t>人材紹介フィー（件数）</t>
        </is>
      </c>
      <c r="B16" s="6" t="n">
        <v>3</v>
      </c>
      <c r="C16" s="6" t="n">
        <v>20</v>
      </c>
      <c r="D16" s="6" t="n">
        <v>50</v>
      </c>
    </row>
    <row r="17">
      <c r="A17" s="13" t="inlineStr">
        <is>
          <t xml:space="preserve">　紹介フィー単価（万円）</t>
        </is>
      </c>
      <c r="B17" s="6" t="n">
        <v>140</v>
      </c>
      <c r="C17" s="6" t="n">
        <v>140</v>
      </c>
      <c r="D17" s="6" t="n">
        <v>140</v>
      </c>
      <c r="E17" t="inlineStr">
        <is>
          <t>年収400万×35%</t>
        </is>
      </c>
    </row>
    <row r="18">
      <c r="A18" s="12" t="inlineStr">
        <is>
          <t xml:space="preserve">　紹介フィー売上合計（万円）</t>
        </is>
      </c>
      <c r="B18" s="10" t="n">
        <v>420</v>
      </c>
      <c r="C18" s="10" t="n">
        <v>2800</v>
      </c>
      <c r="D18" s="10" t="n">
        <v>7000</v>
      </c>
    </row>
    <row r="19">
      <c r="A19" s="13" t="inlineStr">
        <is>
          <t>AIプロジェクト受託（件数）</t>
        </is>
      </c>
      <c r="B19" s="6" t="n">
        <v>0</v>
      </c>
      <c r="C19" s="6" t="n">
        <v>5</v>
      </c>
      <c r="D19" s="6" t="n">
        <v>15</v>
      </c>
    </row>
    <row r="20">
      <c r="A20" s="13" t="inlineStr">
        <is>
          <t xml:space="preserve">　プロジェクト単価（万円）</t>
        </is>
      </c>
      <c r="B20" s="6" t="n">
        <v>160</v>
      </c>
      <c r="C20" s="6" t="n">
        <v>160</v>
      </c>
      <c r="D20" s="6" t="n">
        <v>160</v>
      </c>
    </row>
    <row r="21">
      <c r="A21" s="12" t="inlineStr">
        <is>
          <t xml:space="preserve">　プロジェクト売上合計（万円）</t>
        </is>
      </c>
      <c r="B21" s="10" t="n">
        <v>0</v>
      </c>
      <c r="C21" s="10" t="n">
        <v>800</v>
      </c>
      <c r="D21" s="10" t="n">
        <v>2400</v>
      </c>
    </row>
    <row r="23">
      <c r="A23" s="3" t="inlineStr">
        <is>
          <t>【C】ヘッドカウント計画（★新設）</t>
        </is>
      </c>
    </row>
    <row r="24">
      <c r="A24" s="12" t="inlineStr">
        <is>
          <t>FDE（正社員）人数</t>
        </is>
      </c>
      <c r="B24" s="6" t="n">
        <v>2</v>
      </c>
      <c r="C24" s="6" t="n">
        <v>9</v>
      </c>
      <c r="D24" s="6" t="n">
        <v>27</v>
      </c>
      <c r="E24" t="inlineStr">
        <is>
          <t>1名/6社担当 = ネット平均社数÷6</t>
        </is>
      </c>
    </row>
    <row r="25">
      <c r="A25" s="13" t="inlineStr">
        <is>
          <t xml:space="preserve">　FDE月額給与（万円）</t>
        </is>
      </c>
      <c r="B25" s="6" t="n">
        <v>45</v>
      </c>
      <c r="C25" s="6" t="n">
        <v>42</v>
      </c>
      <c r="D25" s="6" t="n">
        <v>42</v>
      </c>
    </row>
    <row r="26">
      <c r="A26" s="12" t="inlineStr">
        <is>
          <t xml:space="preserve">　FDE人件費合計（万円/年）</t>
        </is>
      </c>
      <c r="B26" s="10" t="n">
        <v>1080</v>
      </c>
      <c r="C26" s="10" t="n">
        <v>4536</v>
      </c>
      <c r="D26" s="10" t="n">
        <v>13608</v>
      </c>
    </row>
    <row r="27">
      <c r="A27" s="13" t="inlineStr">
        <is>
          <t>CSエンジニア（実装担当）人数</t>
        </is>
      </c>
      <c r="B27" s="6" t="n">
        <v>1</v>
      </c>
      <c r="C27" s="6" t="n">
        <v>3</v>
      </c>
      <c r="D27" s="6" t="n">
        <v>8</v>
      </c>
      <c r="E27" t="inlineStr">
        <is>
          <t>プロジェクト件数連動。Y3=15件÷2件/人</t>
        </is>
      </c>
    </row>
    <row r="28">
      <c r="A28" s="13" t="inlineStr">
        <is>
          <t xml:space="preserve">　CS月額給与（万円）</t>
        </is>
      </c>
      <c r="B28" s="6" t="n">
        <v>40</v>
      </c>
      <c r="C28" s="6" t="n">
        <v>40</v>
      </c>
      <c r="D28" s="6" t="n">
        <v>40</v>
      </c>
    </row>
    <row r="29">
      <c r="A29" s="12" t="inlineStr">
        <is>
          <t xml:space="preserve">　CS人件費合計（万円/年）</t>
        </is>
      </c>
      <c r="B29" s="10" t="n">
        <v>480</v>
      </c>
      <c r="C29" s="10" t="n">
        <v>1440</v>
      </c>
      <c r="D29" s="10" t="n">
        <v>3840</v>
      </c>
    </row>
    <row r="30">
      <c r="A30" s="13" t="inlineStr">
        <is>
          <t>管理・営業スタッフ数</t>
        </is>
      </c>
      <c r="B30" s="6" t="n">
        <v>0</v>
      </c>
      <c r="C30" s="6" t="n">
        <v>2</v>
      </c>
      <c r="D30" s="6" t="n">
        <v>6</v>
      </c>
    </row>
    <row r="31">
      <c r="A31" s="13" t="inlineStr">
        <is>
          <t xml:space="preserve">　管理系月額給与（万円）</t>
        </is>
      </c>
      <c r="B31" s="6" t="n">
        <v>35</v>
      </c>
      <c r="C31" s="6" t="n">
        <v>35</v>
      </c>
      <c r="D31" s="6" t="n">
        <v>35</v>
      </c>
    </row>
    <row r="32">
      <c r="A32" s="13" t="inlineStr">
        <is>
          <t>代表報酬（万円/年）</t>
        </is>
      </c>
      <c r="B32" s="6" t="n">
        <v>360</v>
      </c>
      <c r="C32" s="6" t="n">
        <v>600</v>
      </c>
      <c r="D32" s="6" t="n">
        <v>840</v>
      </c>
    </row>
    <row r="33">
      <c r="A33" s="13" t="inlineStr">
        <is>
          <t>副業ワーカー費（売上比）</t>
        </is>
      </c>
      <c r="B33" s="5" t="n">
        <v>0.09</v>
      </c>
      <c r="C33" s="5" t="n">
        <v>0.08</v>
      </c>
      <c r="D33" s="5" t="n">
        <v>0.08</v>
      </c>
    </row>
    <row r="35">
      <c r="A35" s="3" t="inlineStr">
        <is>
          <t>【D】AI原価・API費用（★新設）</t>
        </is>
      </c>
    </row>
    <row r="36">
      <c r="A36" s="13" t="inlineStr">
        <is>
          <t>【前提】顧客負担か？</t>
        </is>
      </c>
      <c r="B36" s="14" t="inlineStr">
        <is>
          <t>顧客自費</t>
        </is>
      </c>
      <c r="C36" s="14" t="inlineStr">
        <is>
          <t>顧客自費</t>
        </is>
      </c>
      <c r="D36" s="14" t="inlineStr">
        <is>
          <t>顧客自費</t>
        </is>
      </c>
      <c r="E36" t="inlineStr">
        <is>
          <t>Claude Code等は顧客が自社で契約・負担</t>
        </is>
      </c>
    </row>
    <row r="37">
      <c r="A37" s="13" t="inlineStr">
        <is>
          <t>UNLID内部AI利用料（万円/年）</t>
        </is>
      </c>
      <c r="B37" s="6" t="n">
        <v>5</v>
      </c>
      <c r="C37" s="6" t="n">
        <v>12</v>
      </c>
      <c r="D37" s="6" t="n">
        <v>24</v>
      </c>
      <c r="E37" t="inlineStr">
        <is>
          <t>社内自動化・レポート生成等の内部ツール費のみ</t>
        </is>
      </c>
    </row>
    <row r="38">
      <c r="A38" s="13" t="inlineStr">
        <is>
          <t>クラウドインフラ費（万円/年）</t>
        </is>
      </c>
      <c r="B38" s="6" t="n">
        <v>8</v>
      </c>
      <c r="C38" s="6" t="n">
        <v>20</v>
      </c>
      <c r="D38" s="6" t="n">
        <v>48</v>
      </c>
      <c r="E38" t="inlineStr">
        <is>
          <t>完遂ログDB・マッチングシステムのサーバー費</t>
        </is>
      </c>
    </row>
    <row r="39">
      <c r="A39" s="12" t="inlineStr">
        <is>
          <t xml:space="preserve">　AI・インフラ費合計（万円/年）</t>
        </is>
      </c>
      <c r="B39" s="10" t="n">
        <v>13</v>
      </c>
      <c r="C39" s="10" t="n">
        <v>32</v>
      </c>
      <c r="D39" s="10" t="n">
        <v>72</v>
      </c>
      <c r="E39" t="inlineStr">
        <is>
          <t>売上比0.5%未満→コスト影響は軽微</t>
        </is>
      </c>
    </row>
    <row r="41">
      <c r="A41" s="3" t="inlineStr">
        <is>
          <t>【E】運転資本・入出金サイト（★新設）</t>
        </is>
      </c>
    </row>
    <row r="42">
      <c r="A42" s="12" t="inlineStr">
        <is>
          <t>売掛金回収サイト（DSO：日）</t>
        </is>
      </c>
      <c r="B42" s="6" t="n">
        <v>45</v>
      </c>
      <c r="C42" s="6" t="n">
        <v>45</v>
      </c>
      <c r="D42" s="6" t="n">
        <v>45</v>
      </c>
      <c r="E42" t="inlineStr">
        <is>
          <t>当月請求→翌月末入金（B2B標準）</t>
        </is>
      </c>
    </row>
    <row r="43">
      <c r="A43" s="13" t="inlineStr">
        <is>
          <t>買掛金支払サイト（DPO：日）</t>
        </is>
      </c>
      <c r="B43" s="6" t="n">
        <v>30</v>
      </c>
      <c r="C43" s="6" t="n">
        <v>30</v>
      </c>
      <c r="D43" s="6" t="n">
        <v>30</v>
      </c>
      <c r="E43" t="inlineStr">
        <is>
          <t>副業ワーカーへの支払い</t>
        </is>
      </c>
    </row>
    <row r="44">
      <c r="A44" s="13" t="inlineStr">
        <is>
          <t>給与支払日</t>
        </is>
      </c>
      <c r="B44" t="inlineStr">
        <is>
          <t>当月25日</t>
        </is>
      </c>
      <c r="C44" t="inlineStr">
        <is>
          <t>当月25日</t>
        </is>
      </c>
      <c r="D44" t="inlineStr">
        <is>
          <t>当月25日</t>
        </is>
      </c>
      <c r="E44" t="inlineStr">
        <is>
          <t>売上入金の前に出ていく→キャッシュ先行支出</t>
        </is>
      </c>
    </row>
    <row r="45">
      <c r="A45" s="12" t="inlineStr">
        <is>
          <t>必要運転資金目安（万円）</t>
        </is>
      </c>
      <c r="B45" s="15" t="n">
        <v>157</v>
      </c>
      <c r="C45" s="15" t="n">
        <v>1075</v>
      </c>
      <c r="D45" s="15" t="n">
        <v>7467</v>
      </c>
      <c r="E45" t="inlineStr">
        <is>
          <t>売上×DSO/365 + 変動費×DPO/365</t>
        </is>
      </c>
    </row>
    <row r="47">
      <c r="A47" s="3" t="inlineStr">
        <is>
          <t>【F】ソフトウェア資産計上方針（★新設）</t>
        </is>
      </c>
    </row>
    <row r="48">
      <c r="A48" s="13" t="inlineStr">
        <is>
          <t>自社プロダクト開発費の計上方針</t>
        </is>
      </c>
      <c r="B48" t="inlineStr">
        <is>
          <t>費用処理</t>
        </is>
      </c>
      <c r="C48" t="inlineStr">
        <is>
          <t>資産計上開始</t>
        </is>
      </c>
      <c r="D48" t="inlineStr">
        <is>
          <t>資産計上継続</t>
        </is>
      </c>
      <c r="E48" t="inlineStr">
        <is>
          <t>Y2よりBSにソフトウェア計上→減価償却</t>
        </is>
      </c>
    </row>
    <row r="49">
      <c r="A49" s="13" t="inlineStr">
        <is>
          <t>開発投資額（万円/年）</t>
        </is>
      </c>
      <c r="B49" s="6" t="n">
        <v>120</v>
      </c>
      <c r="C49" s="6" t="n">
        <v>360</v>
      </c>
      <c r="D49" s="6" t="n">
        <v>600</v>
      </c>
    </row>
    <row r="50">
      <c r="A50" s="13" t="inlineStr">
        <is>
          <t>資産計上額（万円/年）</t>
        </is>
      </c>
      <c r="B50" s="6" t="n">
        <v>0</v>
      </c>
      <c r="C50" s="6" t="n">
        <v>240</v>
      </c>
      <c r="D50" s="6" t="n">
        <v>480</v>
      </c>
      <c r="E50" t="inlineStr">
        <is>
          <t>開発費の67%を無形固定資産として計上</t>
        </is>
      </c>
    </row>
    <row r="51">
      <c r="A51" s="13" t="inlineStr">
        <is>
          <t>償却費（定額3年、万円/年）</t>
        </is>
      </c>
      <c r="B51" s="6" t="n">
        <v>0</v>
      </c>
      <c r="C51" s="6" t="n">
        <v>40</v>
      </c>
      <c r="D51" s="6" t="n">
        <v>120</v>
      </c>
      <c r="E51" t="inlineStr">
        <is>
          <t>Y2計上分240÷3=80万/年（半期認識でY2=40万）</t>
        </is>
      </c>
    </row>
    <row r="52">
      <c r="A52" s="12" t="inlineStr">
        <is>
          <t>ソフトウェア資産（BS計上額、万円）</t>
        </is>
      </c>
      <c r="B52" s="10" t="n">
        <v>0</v>
      </c>
      <c r="C52" s="10" t="n">
        <v>200</v>
      </c>
      <c r="D52" s="10" t="n">
        <v>560</v>
      </c>
      <c r="E52" t="inlineStr">
        <is>
          <t>累積計上-累積償却</t>
        </is>
      </c>
    </row>
    <row r="54">
      <c r="A54" s="3" t="inlineStr">
        <is>
          <t>【G】CAC・LTV・ユニットエコノミクス</t>
        </is>
      </c>
    </row>
    <row r="55">
      <c r="A55" s="12" t="inlineStr">
        <is>
          <t>CAC（顧客獲得単価、万円）</t>
        </is>
      </c>
      <c r="B55" s="6" t="n">
        <v>15</v>
      </c>
      <c r="C55" s="6" t="n">
        <v>25</v>
      </c>
      <c r="D55" s="6" t="n">
        <v>40</v>
      </c>
      <c r="E55" t="inlineStr">
        <is>
          <t>Y2後半以降、アーリー層取り切りでCACが上昇</t>
        </is>
      </c>
    </row>
    <row r="56">
      <c r="A56" s="13" t="inlineStr">
        <is>
          <t>LTV（月20万×12ヶ月+紹介140万、万円）</t>
        </is>
      </c>
      <c r="B56" s="6" t="n">
        <v>380</v>
      </c>
      <c r="C56" s="6" t="n">
        <v>380</v>
      </c>
      <c r="D56" s="6" t="n">
        <v>420</v>
      </c>
    </row>
    <row r="57">
      <c r="A57" s="12" t="inlineStr">
        <is>
          <t>LTV/CAC倍率</t>
        </is>
      </c>
      <c r="B57" s="10" t="n">
        <v>25.3</v>
      </c>
      <c r="C57" s="10" t="n">
        <v>15.2</v>
      </c>
      <c r="D57" s="10" t="n">
        <v>10.5</v>
      </c>
      <c r="E57" t="inlineStr">
        <is>
          <t>3倍以上が健全ライン（SaaS業界基準）</t>
        </is>
      </c>
    </row>
    <row r="58">
      <c r="A58" s="13" t="inlineStr">
        <is>
          <t>CAC回収期間（ヶ月）</t>
        </is>
      </c>
      <c r="B58" s="6" t="n">
        <v>1.5</v>
      </c>
      <c r="C58" s="6" t="n">
        <v>2.2</v>
      </c>
      <c r="D58" s="6" t="n">
        <v>3.2</v>
      </c>
      <c r="E58" t="inlineStr">
        <is>
          <t>CAC÷月次粗利（月額単価×粗利率50%）</t>
        </is>
      </c>
    </row>
  </sheetData>
  <mergeCells count="8">
    <mergeCell ref="A35:E35"/>
    <mergeCell ref="A12:E12"/>
    <mergeCell ref="A54:E54"/>
    <mergeCell ref="A41:E41"/>
    <mergeCell ref="A47:E47"/>
    <mergeCell ref="A1:E1"/>
    <mergeCell ref="A23:E2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6" t="inlineStr">
        <is>
          <t>UNLID 損益計算書（P&amp;L） — チャーン・ヘッドカウント連動版</t>
        </is>
      </c>
    </row>
    <row r="2">
      <c r="A2" s="2" t="inlineStr">
        <is>
          <t>項目</t>
        </is>
      </c>
      <c r="B2" s="2" t="inlineStr">
        <is>
          <t>Year1 (FY2026)</t>
        </is>
      </c>
      <c r="C2" s="2" t="inlineStr">
        <is>
          <t>Year2 (FY2027)</t>
        </is>
      </c>
      <c r="D2" s="2" t="inlineStr">
        <is>
          <t>Year3 (FY2028)</t>
        </is>
      </c>
      <c r="E2" s="2" t="inlineStr">
        <is>
          <t>3年累計</t>
        </is>
      </c>
    </row>
    <row r="3">
      <c r="A3" s="3" t="inlineStr">
        <is>
          <t>■ 売上高</t>
        </is>
      </c>
    </row>
    <row r="4">
      <c r="A4" s="13" t="inlineStr">
        <is>
          <t>B2B月次顧問料</t>
        </is>
      </c>
      <c r="B4" s="6" t="n">
        <v>1200</v>
      </c>
      <c r="C4" s="6" t="n">
        <v>8280</v>
      </c>
      <c r="D4" s="6" t="n">
        <v>31500</v>
      </c>
      <c r="E4" s="6" t="n">
        <v>40980</v>
      </c>
    </row>
    <row r="5">
      <c r="A5" s="13" t="inlineStr">
        <is>
          <t xml:space="preserve">  ├ ネット平均契約社数（社）</t>
        </is>
      </c>
      <c r="B5" s="6" t="n">
        <v>5</v>
      </c>
      <c r="C5" s="6" t="n">
        <v>30</v>
      </c>
      <c r="D5" s="6" t="n">
        <v>105</v>
      </c>
    </row>
    <row r="6">
      <c r="A6" s="13" t="inlineStr">
        <is>
          <t xml:space="preserve">  └ 月次チャーン率（前提）</t>
        </is>
      </c>
      <c r="B6" s="5" t="n">
        <v>0.025</v>
      </c>
      <c r="C6" s="5" t="n">
        <v>0.025</v>
      </c>
      <c r="D6" s="5" t="n">
        <v>0.02</v>
      </c>
    </row>
    <row r="7">
      <c r="A7" s="13" t="inlineStr">
        <is>
          <t>人材紹介フィー</t>
        </is>
      </c>
      <c r="B7" s="6" t="n">
        <v>420</v>
      </c>
      <c r="C7" s="6" t="n">
        <v>2800</v>
      </c>
      <c r="D7" s="6" t="n">
        <v>7000</v>
      </c>
      <c r="E7" s="6" t="n">
        <v>10220</v>
      </c>
    </row>
    <row r="8">
      <c r="A8" s="13" t="inlineStr">
        <is>
          <t>AIプロジェクト受託</t>
        </is>
      </c>
      <c r="B8" s="6" t="n">
        <v>0</v>
      </c>
      <c r="C8" s="6" t="n">
        <v>800</v>
      </c>
      <c r="D8" s="6" t="n">
        <v>2400</v>
      </c>
      <c r="E8" s="6" t="n">
        <v>3200</v>
      </c>
    </row>
    <row r="9">
      <c r="A9" s="12" t="inlineStr">
        <is>
          <t>売上高合計</t>
        </is>
      </c>
      <c r="B9" s="17" t="n">
        <v>1620</v>
      </c>
      <c r="C9" s="17" t="n">
        <v>11880</v>
      </c>
      <c r="D9" s="17" t="n">
        <v>40900</v>
      </c>
      <c r="E9" s="17" t="n">
        <v>54400</v>
      </c>
    </row>
    <row r="11">
      <c r="A11" s="3" t="inlineStr">
        <is>
          <t>■ 売上原価（COGS）</t>
        </is>
      </c>
    </row>
    <row r="12">
      <c r="A12" s="13" t="inlineStr">
        <is>
          <t>副業ワーカー費（売上の8〜9%）</t>
        </is>
      </c>
      <c r="B12" s="6" t="n">
        <v>146</v>
      </c>
      <c r="C12" s="6" t="n">
        <v>950</v>
      </c>
      <c r="D12" s="6" t="n">
        <v>3272</v>
      </c>
      <c r="E12" s="6" t="n">
        <v>4368</v>
      </c>
    </row>
    <row r="13">
      <c r="A13" s="13" t="inlineStr">
        <is>
          <t>★ UNLID内部AI・インフラ費（★新設）</t>
        </is>
      </c>
      <c r="B13" s="11" t="n">
        <v>13</v>
      </c>
      <c r="C13" s="11" t="n">
        <v>32</v>
      </c>
      <c r="D13" s="11" t="n">
        <v>72</v>
      </c>
      <c r="E13" s="11" t="n">
        <v>117</v>
      </c>
    </row>
    <row r="14">
      <c r="A14" s="12" t="inlineStr">
        <is>
          <t>売上原価合計</t>
        </is>
      </c>
      <c r="B14" s="7" t="n">
        <v>159</v>
      </c>
      <c r="C14" s="7" t="n">
        <v>982</v>
      </c>
      <c r="D14" s="7" t="n">
        <v>3344</v>
      </c>
      <c r="E14" s="7" t="n">
        <v>4485</v>
      </c>
    </row>
    <row r="15">
      <c r="A15" s="12" t="inlineStr">
        <is>
          <t>売上総利益（粗利）</t>
        </is>
      </c>
      <c r="B15" s="10" t="n">
        <v>1461</v>
      </c>
      <c r="C15" s="10" t="n">
        <v>10898</v>
      </c>
      <c r="D15" s="10" t="n">
        <v>37556</v>
      </c>
      <c r="E15" s="10" t="n">
        <v>49915</v>
      </c>
    </row>
    <row r="16">
      <c r="A16" s="13" t="inlineStr">
        <is>
          <t>粗利率</t>
        </is>
      </c>
      <c r="B16" s="5" t="n">
        <v>0.9018518518518519</v>
      </c>
      <c r="C16" s="5" t="n">
        <v>0.9173400673400673</v>
      </c>
      <c r="D16" s="5" t="n">
        <v>0.918239608801956</v>
      </c>
    </row>
    <row r="18">
      <c r="A18" s="3" t="inlineStr">
        <is>
          <t>■ 販売費・一般管理費（SGA）</t>
        </is>
      </c>
    </row>
    <row r="19">
      <c r="A19" s="12" t="inlineStr">
        <is>
          <t>★ FDE人件費（ヘッドカウント連動）</t>
        </is>
      </c>
      <c r="B19" s="10" t="n">
        <v>1080</v>
      </c>
      <c r="C19" s="10" t="n">
        <v>4536</v>
      </c>
      <c r="D19" s="10" t="n">
        <v>13608</v>
      </c>
      <c r="E19" s="10" t="n">
        <v>19224</v>
      </c>
    </row>
    <row r="20">
      <c r="A20" s="13" t="inlineStr">
        <is>
          <t xml:space="preserve">  └ FDE人数（人）</t>
        </is>
      </c>
      <c r="B20" s="6" t="n">
        <v>2</v>
      </c>
      <c r="C20" s="6" t="n">
        <v>9</v>
      </c>
      <c r="D20" s="6" t="n">
        <v>27</v>
      </c>
      <c r="E20" s="6" t="n">
        <v>38</v>
      </c>
    </row>
    <row r="21">
      <c r="A21" s="12" t="inlineStr">
        <is>
          <t>★ CSエンジニア人件費（プロジェクト連動）</t>
        </is>
      </c>
      <c r="B21" s="10" t="n">
        <v>480</v>
      </c>
      <c r="C21" s="10" t="n">
        <v>1440</v>
      </c>
      <c r="D21" s="10" t="n">
        <v>3840</v>
      </c>
      <c r="E21" s="10" t="n">
        <v>5760</v>
      </c>
    </row>
    <row r="22">
      <c r="A22" s="13" t="inlineStr">
        <is>
          <t xml:space="preserve">  └ CS人数（人）</t>
        </is>
      </c>
      <c r="B22" s="6" t="n">
        <v>1</v>
      </c>
      <c r="C22" s="6" t="n">
        <v>3</v>
      </c>
      <c r="D22" s="6" t="n">
        <v>8</v>
      </c>
      <c r="E22" s="6" t="n">
        <v>12</v>
      </c>
    </row>
    <row r="23">
      <c r="A23" s="13" t="inlineStr">
        <is>
          <t>管理・営業スタッフ人件費</t>
        </is>
      </c>
      <c r="B23" s="6" t="n">
        <v>0</v>
      </c>
      <c r="C23" s="6" t="n">
        <v>840</v>
      </c>
      <c r="D23" s="6" t="n">
        <v>2520</v>
      </c>
      <c r="E23" s="6" t="n">
        <v>3360</v>
      </c>
    </row>
    <row r="24">
      <c r="A24" s="13" t="inlineStr">
        <is>
          <t>代表報酬</t>
        </is>
      </c>
      <c r="B24" s="6" t="n">
        <v>360</v>
      </c>
      <c r="C24" s="6" t="n">
        <v>600</v>
      </c>
      <c r="D24" s="6" t="n">
        <v>840</v>
      </c>
      <c r="E24" s="6" t="n">
        <v>1800</v>
      </c>
    </row>
    <row r="25">
      <c r="A25" s="13" t="inlineStr">
        <is>
          <t>開発費（費用処理分）</t>
        </is>
      </c>
      <c r="B25" s="6" t="n">
        <v>120</v>
      </c>
      <c r="C25" s="6" t="n">
        <v>120</v>
      </c>
      <c r="D25" s="6" t="n">
        <v>120</v>
      </c>
      <c r="E25" s="6" t="n">
        <v>360</v>
      </c>
    </row>
    <row r="26">
      <c r="A26" s="13" t="inlineStr">
        <is>
          <t>★ 減価償却費（ソフトウェア）</t>
        </is>
      </c>
      <c r="B26" s="18" t="n">
        <v>0</v>
      </c>
      <c r="C26" s="18" t="n">
        <v>40</v>
      </c>
      <c r="D26" s="18" t="n">
        <v>120</v>
      </c>
      <c r="E26" s="18" t="n">
        <v>160</v>
      </c>
    </row>
    <row r="27">
      <c r="A27" s="13" t="inlineStr">
        <is>
          <t>採用費</t>
        </is>
      </c>
      <c r="B27" s="6" t="n">
        <v>60</v>
      </c>
      <c r="C27" s="6" t="n">
        <v>150</v>
      </c>
      <c r="D27" s="6" t="n">
        <v>300</v>
      </c>
      <c r="E27" s="6" t="n">
        <v>510</v>
      </c>
    </row>
    <row r="28">
      <c r="A28" s="13" t="inlineStr">
        <is>
          <t>マーケティング費</t>
        </is>
      </c>
      <c r="B28" s="6" t="n">
        <v>60</v>
      </c>
      <c r="C28" s="6" t="n">
        <v>180</v>
      </c>
      <c r="D28" s="6" t="n">
        <v>480</v>
      </c>
      <c r="E28" s="6" t="n">
        <v>720</v>
      </c>
    </row>
    <row r="29">
      <c r="A29" s="13" t="inlineStr">
        <is>
          <t>オフィス・通信費</t>
        </is>
      </c>
      <c r="B29" s="6" t="n">
        <v>24</v>
      </c>
      <c r="C29" s="6" t="n">
        <v>60</v>
      </c>
      <c r="D29" s="6" t="n">
        <v>144</v>
      </c>
      <c r="E29" s="6" t="n">
        <v>228</v>
      </c>
    </row>
    <row r="30">
      <c r="A30" s="13" t="inlineStr">
        <is>
          <t>法務・会計費</t>
        </is>
      </c>
      <c r="B30" s="6" t="n">
        <v>36</v>
      </c>
      <c r="C30" s="6" t="n">
        <v>60</v>
      </c>
      <c r="D30" s="6" t="n">
        <v>96</v>
      </c>
      <c r="E30" s="6" t="n">
        <v>192</v>
      </c>
    </row>
    <row r="31">
      <c r="A31" s="13" t="inlineStr">
        <is>
          <t>システム・ツール費</t>
        </is>
      </c>
      <c r="B31" s="6" t="n">
        <v>36</v>
      </c>
      <c r="C31" s="6" t="n">
        <v>60</v>
      </c>
      <c r="D31" s="6" t="n">
        <v>96</v>
      </c>
      <c r="E31" s="6" t="n">
        <v>192</v>
      </c>
    </row>
    <row r="32">
      <c r="A32" s="12" t="inlineStr">
        <is>
          <t>SGA合計</t>
        </is>
      </c>
      <c r="B32" s="7" t="n">
        <v>2256</v>
      </c>
      <c r="C32" s="7" t="n">
        <v>8086</v>
      </c>
      <c r="D32" s="7" t="n">
        <v>22164</v>
      </c>
      <c r="E32" s="7" t="n">
        <v>32506</v>
      </c>
    </row>
    <row r="34">
      <c r="A34" s="3" t="inlineStr">
        <is>
          <t>■ 利益サマリー</t>
        </is>
      </c>
    </row>
    <row r="35">
      <c r="A35" s="12" t="inlineStr">
        <is>
          <t>営業利益</t>
        </is>
      </c>
      <c r="B35" s="6" t="n">
        <v>-795</v>
      </c>
      <c r="C35" s="6" t="n">
        <v>2812</v>
      </c>
      <c r="D35" s="6" t="n">
        <v>15392</v>
      </c>
      <c r="E35" s="6" t="n">
        <v>17409</v>
      </c>
    </row>
    <row r="36">
      <c r="A36" s="13" t="inlineStr">
        <is>
          <t>営業利益率</t>
        </is>
      </c>
      <c r="B36" s="5" t="n">
        <v>-0.4907407407407408</v>
      </c>
      <c r="C36" s="5" t="n">
        <v>0.2367003367003367</v>
      </c>
      <c r="D36" s="5" t="n">
        <v>0.3763325183374083</v>
      </c>
    </row>
    <row r="37">
      <c r="A37" s="13" t="inlineStr">
        <is>
          <t>法人税等（30%）</t>
        </is>
      </c>
      <c r="B37" s="6" t="n">
        <v>0</v>
      </c>
      <c r="C37" s="6" t="n">
        <v>-844</v>
      </c>
      <c r="D37" s="6" t="n">
        <v>-4618</v>
      </c>
      <c r="E37" s="6" t="n">
        <v>-5462</v>
      </c>
    </row>
    <row r="38">
      <c r="A38" s="12" t="inlineStr">
        <is>
          <t>当期純利益</t>
        </is>
      </c>
      <c r="B38" s="10" t="n">
        <v>-795</v>
      </c>
      <c r="C38" s="10" t="n">
        <v>1968</v>
      </c>
      <c r="D38" s="10" t="n">
        <v>10774</v>
      </c>
      <c r="E38" s="10" t="n">
        <v>11947</v>
      </c>
    </row>
  </sheetData>
  <mergeCells count="5">
    <mergeCell ref="A34:E34"/>
    <mergeCell ref="A11:E11"/>
    <mergeCell ref="A1:E1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6" t="inlineStr">
        <is>
          <t>UNLID 貸借対照表（B/S）— 運転資本・ソフトウェア資産計上版</t>
        </is>
      </c>
    </row>
    <row r="2">
      <c r="A2" s="2" t="inlineStr">
        <is>
          <t>項目</t>
        </is>
      </c>
      <c r="B2" s="2" t="inlineStr">
        <is>
          <t>Year0 (期首)</t>
        </is>
      </c>
      <c r="C2" s="2" t="inlineStr">
        <is>
          <t>Year1末</t>
        </is>
      </c>
      <c r="D2" s="2" t="inlineStr">
        <is>
          <t>Year2末</t>
        </is>
      </c>
      <c r="E2" s="2" t="inlineStr">
        <is>
          <t>Year3末</t>
        </is>
      </c>
    </row>
    <row r="3">
      <c r="A3" s="3" t="inlineStr">
        <is>
          <t>■ 資産の部</t>
        </is>
      </c>
    </row>
    <row r="4">
      <c r="A4" s="13" t="inlineStr">
        <is>
          <t>現金・預金（★運転資本タイムラグ反映後）</t>
        </is>
      </c>
      <c r="B4" s="11" t="n">
        <v>500</v>
      </c>
      <c r="C4" s="11" t="n">
        <v>1817</v>
      </c>
      <c r="D4" s="11" t="n">
        <v>7426</v>
      </c>
      <c r="E4" s="11" t="n">
        <v>14734</v>
      </c>
    </row>
    <row r="5">
      <c r="A5" s="13" t="inlineStr">
        <is>
          <t>売掛金（DSO45日分）</t>
        </is>
      </c>
      <c r="B5" s="18" t="n">
        <v>0</v>
      </c>
      <c r="C5" s="18" t="n">
        <v>200</v>
      </c>
      <c r="D5" s="18" t="n">
        <v>1465</v>
      </c>
      <c r="E5" s="18" t="n">
        <v>5042</v>
      </c>
    </row>
    <row r="6">
      <c r="A6" s="13" t="inlineStr">
        <is>
          <t>前払費用</t>
        </is>
      </c>
      <c r="B6" s="6" t="n">
        <v>0</v>
      </c>
      <c r="C6" s="6" t="n">
        <v>10</v>
      </c>
      <c r="D6" s="6" t="n">
        <v>20</v>
      </c>
      <c r="E6" s="6" t="n">
        <v>40</v>
      </c>
    </row>
    <row r="7">
      <c r="A7" s="13" t="inlineStr">
        <is>
          <t>★ ソフトウェア（無形固定資産）</t>
        </is>
      </c>
      <c r="B7" s="11" t="n">
        <v>0</v>
      </c>
      <c r="C7" s="11" t="n">
        <v>0</v>
      </c>
      <c r="D7" s="11" t="n">
        <v>200</v>
      </c>
      <c r="E7" s="11" t="n">
        <v>560</v>
      </c>
    </row>
    <row r="8">
      <c r="A8" s="13" t="inlineStr">
        <is>
          <t>有形固定資産（PC・備品等）</t>
        </is>
      </c>
      <c r="B8" s="6" t="n">
        <v>20</v>
      </c>
      <c r="C8" s="6" t="n">
        <v>30</v>
      </c>
      <c r="D8" s="6" t="n">
        <v>60</v>
      </c>
      <c r="E8" s="6" t="n">
        <v>120</v>
      </c>
    </row>
    <row r="9">
      <c r="A9" s="12" t="inlineStr">
        <is>
          <t>資産合計</t>
        </is>
      </c>
      <c r="B9" s="7" t="n">
        <v>500</v>
      </c>
      <c r="C9" s="7" t="n">
        <v>2017</v>
      </c>
      <c r="D9" s="7" t="n">
        <v>9091</v>
      </c>
      <c r="E9" s="7" t="n">
        <v>20336</v>
      </c>
    </row>
    <row r="11">
      <c r="A11" s="3" t="inlineStr">
        <is>
          <t>■ 負債の部</t>
        </is>
      </c>
    </row>
    <row r="12">
      <c r="A12" s="13" t="inlineStr">
        <is>
          <t>買掛金（ワーカー費 DPO30日分）</t>
        </is>
      </c>
      <c r="B12" s="18" t="n">
        <v>0</v>
      </c>
      <c r="C12" s="18" t="n">
        <v>12</v>
      </c>
      <c r="D12" s="18" t="n">
        <v>78</v>
      </c>
      <c r="E12" s="18" t="n">
        <v>269</v>
      </c>
    </row>
    <row r="13">
      <c r="A13" s="13" t="inlineStr">
        <is>
          <t>未払費用（1ヶ月分SGA）</t>
        </is>
      </c>
      <c r="B13" s="6" t="n">
        <v>0</v>
      </c>
      <c r="C13" s="6" t="n">
        <v>188</v>
      </c>
      <c r="D13" s="6" t="n">
        <v>674</v>
      </c>
      <c r="E13" s="6" t="n">
        <v>1847</v>
      </c>
    </row>
    <row r="14">
      <c r="A14" s="13" t="inlineStr">
        <is>
          <t>政策公庫借入（長期）</t>
        </is>
      </c>
      <c r="B14" s="6" t="n">
        <v>0</v>
      </c>
      <c r="C14" s="6" t="n">
        <v>800</v>
      </c>
      <c r="D14" s="6" t="n">
        <v>600</v>
      </c>
      <c r="E14" s="6" t="n">
        <v>400</v>
      </c>
    </row>
    <row r="15">
      <c r="A15" s="12" t="inlineStr">
        <is>
          <t>負債合計</t>
        </is>
      </c>
      <c r="B15" s="7" t="n">
        <v>0</v>
      </c>
      <c r="C15" s="7" t="n">
        <v>1000</v>
      </c>
      <c r="D15" s="7" t="n">
        <v>1352</v>
      </c>
      <c r="E15" s="7" t="n">
        <v>2516</v>
      </c>
    </row>
    <row r="17">
      <c r="A17" s="3" t="inlineStr">
        <is>
          <t>■ 純資産の部</t>
        </is>
      </c>
    </row>
    <row r="18">
      <c r="A18" s="13" t="inlineStr">
        <is>
          <t>資本金・資本剰余金（累計）</t>
        </is>
      </c>
      <c r="B18" s="6" t="n">
        <v>500</v>
      </c>
      <c r="C18" s="6" t="n">
        <v>2000</v>
      </c>
      <c r="D18" s="6" t="n">
        <v>7000</v>
      </c>
      <c r="E18" s="6" t="n">
        <v>7000</v>
      </c>
    </row>
    <row r="19">
      <c r="A19" s="13" t="inlineStr">
        <is>
          <t>繰越利益剰余金（累計純利益）</t>
        </is>
      </c>
      <c r="B19" s="6" t="n">
        <v>0</v>
      </c>
      <c r="C19" s="6" t="n">
        <v>-795</v>
      </c>
      <c r="D19" s="6" t="n">
        <v>1173</v>
      </c>
      <c r="E19" s="6" t="n">
        <v>11947</v>
      </c>
    </row>
    <row r="20">
      <c r="A20" s="12" t="inlineStr">
        <is>
          <t>純資産合計</t>
        </is>
      </c>
      <c r="B20" s="10" t="n">
        <v>500</v>
      </c>
      <c r="C20" s="10" t="n">
        <v>1205</v>
      </c>
      <c r="D20" s="10" t="n">
        <v>8173</v>
      </c>
      <c r="E20" s="10" t="n">
        <v>18947</v>
      </c>
    </row>
    <row r="22" ht="30" customHeight="1">
      <c r="A22" s="19" t="inlineStr">
        <is>
          <t>★ 黒字倒産リスク注記：Year3売上急増時、売掛金が約710万円膨張。資金調達（Series A）でこのキャッシュギャップを吸収する設計</t>
        </is>
      </c>
    </row>
  </sheetData>
  <mergeCells count="5">
    <mergeCell ref="A11:E11"/>
    <mergeCell ref="A1:E1"/>
    <mergeCell ref="A22:E22"/>
    <mergeCell ref="A17:E1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20" t="inlineStr">
        <is>
          <t>UNLID キャッシュフロー計算書（間接法） — 運転資本タイムラグ・黒字倒産リスク可視化版</t>
        </is>
      </c>
    </row>
    <row r="2">
      <c r="A2" s="2" t="inlineStr">
        <is>
          <t>項目</t>
        </is>
      </c>
      <c r="B2" s="2" t="inlineStr">
        <is>
          <t>Year1 (FY2026)</t>
        </is>
      </c>
      <c r="C2" s="2" t="inlineStr">
        <is>
          <t>Year2 (FY2027)</t>
        </is>
      </c>
      <c r="D2" s="2" t="inlineStr">
        <is>
          <t>Year3 (FY2028)</t>
        </is>
      </c>
      <c r="E2" s="2" t="inlineStr">
        <is>
          <t>3年累計</t>
        </is>
      </c>
    </row>
    <row r="3">
      <c r="A3" s="3" t="inlineStr">
        <is>
          <t>■ 営業活動によるCF（Operating CF）</t>
        </is>
      </c>
    </row>
    <row r="4">
      <c r="A4" s="13" t="inlineStr">
        <is>
          <t>当期純利益</t>
        </is>
      </c>
      <c r="B4" s="6" t="n">
        <v>-795</v>
      </c>
      <c r="C4" s="6" t="n">
        <v>1968</v>
      </c>
      <c r="D4" s="6" t="n">
        <v>10774</v>
      </c>
      <c r="E4" s="6" t="n">
        <v>11947</v>
      </c>
    </row>
    <row r="5">
      <c r="A5" s="13" t="inlineStr">
        <is>
          <t>（加算）減価償却費</t>
        </is>
      </c>
      <c r="B5" s="11" t="n">
        <v>0</v>
      </c>
      <c r="C5" s="11" t="n">
        <v>40</v>
      </c>
      <c r="D5" s="11" t="n">
        <v>120</v>
      </c>
      <c r="E5" s="11" t="n">
        <v>160</v>
      </c>
    </row>
    <row r="6">
      <c r="A6" s="13" t="inlineStr">
        <is>
          <t>★ 売掛金増減（DSO45日ラグ）</t>
        </is>
      </c>
      <c r="B6" s="18" t="n">
        <v>-200</v>
      </c>
      <c r="C6" s="18" t="n">
        <v>-1265</v>
      </c>
      <c r="D6" s="18" t="n">
        <v>-3577</v>
      </c>
      <c r="E6" s="18" t="n">
        <v>-5042</v>
      </c>
    </row>
    <row r="7">
      <c r="A7" s="13" t="inlineStr">
        <is>
          <t xml:space="preserve">  ↑ Y3売掛金が710万円増加→CFを圧迫（黒字倒産リスク）</t>
        </is>
      </c>
      <c r="B7" s="21" t="inlineStr">
        <is>
          <t>← 売上急増時は要注意。Series A調達タイミングと合わせて管理</t>
        </is>
      </c>
    </row>
    <row r="8">
      <c r="A8" s="13" t="inlineStr">
        <is>
          <t>買掛金増減（ワーカーDPO30日）</t>
        </is>
      </c>
      <c r="B8" s="6" t="n">
        <v>12</v>
      </c>
      <c r="C8" s="6" t="n">
        <v>66</v>
      </c>
      <c r="D8" s="6" t="n">
        <v>191</v>
      </c>
      <c r="E8" s="6" t="n">
        <v>269</v>
      </c>
    </row>
    <row r="9">
      <c r="A9" s="13" t="inlineStr">
        <is>
          <t>未払費用増減</t>
        </is>
      </c>
      <c r="B9" s="6" t="n">
        <v>188</v>
      </c>
      <c r="C9" s="6" t="n">
        <v>486</v>
      </c>
      <c r="D9" s="6" t="n">
        <v>1173</v>
      </c>
      <c r="E9" s="6" t="n">
        <v>1847</v>
      </c>
    </row>
    <row r="10">
      <c r="A10" s="12" t="inlineStr">
        <is>
          <t>営業CF合計</t>
        </is>
      </c>
      <c r="B10" s="10" t="n">
        <v>-795</v>
      </c>
      <c r="C10" s="10" t="n">
        <v>1295</v>
      </c>
      <c r="D10" s="10" t="n">
        <v>8681</v>
      </c>
      <c r="E10" s="10" t="n">
        <v>9181</v>
      </c>
    </row>
    <row r="12">
      <c r="A12" s="3" t="inlineStr">
        <is>
          <t>■ 投資活動によるCF（Investing CF）</t>
        </is>
      </c>
    </row>
    <row r="13">
      <c r="A13" s="13" t="inlineStr">
        <is>
          <t>★ ソフトウェア開発費（資産計上分）</t>
        </is>
      </c>
      <c r="B13" s="11" t="n">
        <v>0</v>
      </c>
      <c r="C13" s="11" t="n">
        <v>-240</v>
      </c>
      <c r="D13" s="11" t="n">
        <v>-480</v>
      </c>
      <c r="E13" s="11" t="n">
        <v>-720</v>
      </c>
    </row>
    <row r="14">
      <c r="A14" s="13" t="inlineStr">
        <is>
          <t>設備投資（PC・備品）</t>
        </is>
      </c>
      <c r="B14" s="6" t="n">
        <v>-30</v>
      </c>
      <c r="C14" s="6" t="n">
        <v>-60</v>
      </c>
      <c r="D14" s="6" t="n">
        <v>-120</v>
      </c>
      <c r="E14" s="6" t="n">
        <v>-210</v>
      </c>
    </row>
    <row r="15">
      <c r="A15" s="12" t="inlineStr">
        <is>
          <t>投資CF合計</t>
        </is>
      </c>
      <c r="B15" s="7" t="n">
        <v>-30</v>
      </c>
      <c r="C15" s="7" t="n">
        <v>-300</v>
      </c>
      <c r="D15" s="7" t="n">
        <v>-600</v>
      </c>
      <c r="E15" s="7" t="n">
        <v>-930</v>
      </c>
    </row>
    <row r="17">
      <c r="A17" s="3" t="inlineStr">
        <is>
          <t>■ 財務活動によるCF（Financing CF）</t>
        </is>
      </c>
    </row>
    <row r="18">
      <c r="A18" s="13" t="inlineStr">
        <is>
          <t>株式発行による調達</t>
        </is>
      </c>
      <c r="B18" s="6" t="n">
        <v>1500</v>
      </c>
      <c r="C18" s="6" t="n">
        <v>5000</v>
      </c>
      <c r="D18" s="6" t="n">
        <v>0</v>
      </c>
      <c r="E18" s="6" t="n">
        <v>6500</v>
      </c>
    </row>
    <row r="19">
      <c r="A19" s="13" t="inlineStr">
        <is>
          <t>政策公庫借入</t>
        </is>
      </c>
      <c r="B19" s="6" t="n">
        <v>1000</v>
      </c>
      <c r="C19" s="6" t="n">
        <v>0</v>
      </c>
      <c r="D19" s="6" t="n">
        <v>0</v>
      </c>
      <c r="E19" s="6" t="n">
        <v>1000</v>
      </c>
    </row>
    <row r="20">
      <c r="A20" s="13" t="inlineStr">
        <is>
          <t>借入返済</t>
        </is>
      </c>
      <c r="B20" s="6" t="n">
        <v>-200</v>
      </c>
      <c r="C20" s="6" t="n">
        <v>-200</v>
      </c>
      <c r="D20" s="6" t="n">
        <v>-200</v>
      </c>
      <c r="E20" s="6" t="n">
        <v>-600</v>
      </c>
    </row>
    <row r="21">
      <c r="A21" s="12" t="inlineStr">
        <is>
          <t>財務CF合計</t>
        </is>
      </c>
      <c r="B21" s="7" t="n">
        <v>2300</v>
      </c>
      <c r="C21" s="7" t="n">
        <v>4800</v>
      </c>
      <c r="D21" s="7" t="n">
        <v>-200</v>
      </c>
      <c r="E21" s="7" t="n">
        <v>6900</v>
      </c>
    </row>
    <row r="23">
      <c r="A23" s="3" t="inlineStr">
        <is>
          <t>■ キャッシュサマリー</t>
        </is>
      </c>
    </row>
    <row r="24">
      <c r="A24" s="13" t="inlineStr">
        <is>
          <t>期首現金</t>
        </is>
      </c>
      <c r="B24" s="6" t="n">
        <v>500</v>
      </c>
      <c r="C24" s="6" t="n">
        <v>1817</v>
      </c>
      <c r="D24" s="6" t="n">
        <v>7426</v>
      </c>
    </row>
    <row r="25">
      <c r="A25" s="12" t="inlineStr">
        <is>
          <t>当期CF増減合計</t>
        </is>
      </c>
      <c r="B25" s="7" t="n">
        <v>1475</v>
      </c>
      <c r="C25" s="7" t="n">
        <v>5795</v>
      </c>
      <c r="D25" s="7" t="n">
        <v>7881</v>
      </c>
      <c r="E25" s="7" t="n">
        <v>15151</v>
      </c>
    </row>
    <row r="26">
      <c r="A26" s="12" t="inlineStr">
        <is>
          <t>期末現金残高</t>
        </is>
      </c>
      <c r="B26" s="10" t="n">
        <v>1817</v>
      </c>
      <c r="C26" s="10" t="n">
        <v>7426</v>
      </c>
      <c r="D26" s="10" t="n">
        <v>14734</v>
      </c>
      <c r="E26" s="10" t="n">
        <v>14734</v>
      </c>
    </row>
    <row r="27">
      <c r="A27" s="13" t="inlineStr">
        <is>
          <t>★ 必要運転資金（参考）</t>
        </is>
      </c>
      <c r="B27" s="18" t="n">
        <v>200</v>
      </c>
      <c r="C27" s="18" t="n">
        <v>1465</v>
      </c>
      <c r="D27" s="18" t="n">
        <v>5042</v>
      </c>
    </row>
  </sheetData>
  <mergeCells count="6">
    <mergeCell ref="A12:E12"/>
    <mergeCell ref="B7:E7"/>
    <mergeCell ref="A1:E1"/>
    <mergeCell ref="A23:E23"/>
    <mergeCell ref="A17:E1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6" t="inlineStr">
        <is>
          <t>UNLID 感度分析 — チャーン・期ズレ・CAC悪化シナリオ追加版</t>
        </is>
      </c>
    </row>
    <row r="3">
      <c r="A3" s="3" t="inlineStr">
        <is>
          <t>【分析①】チャーン率 × Year2期末契約社数（★新設）</t>
        </is>
      </c>
    </row>
    <row r="4">
      <c r="A4" s="4" t="inlineStr">
        <is>
          <t>月次チャーン率 →</t>
        </is>
      </c>
      <c r="B4" s="4" t="inlineStr">
        <is>
          <t>1.0%/月</t>
        </is>
      </c>
      <c r="C4" s="4" t="inlineStr">
        <is>
          <t>2.0%/月</t>
        </is>
      </c>
      <c r="D4" s="22" t="inlineStr">
        <is>
          <t>2.5%/月</t>
        </is>
      </c>
      <c r="E4" s="4" t="inlineStr">
        <is>
          <t>3.0%/月</t>
        </is>
      </c>
      <c r="F4" s="4" t="inlineStr">
        <is>
          <t>4.0%/月</t>
        </is>
      </c>
      <c r="G4" s="4" t="inlineStr">
        <is>
          <t>5.0%/月</t>
        </is>
      </c>
    </row>
    <row r="5">
      <c r="A5" s="12" t="inlineStr">
        <is>
          <t>Y2期末ネット社数（グロス新規55社固定）</t>
        </is>
      </c>
      <c r="B5" s="6" t="n">
        <v>61</v>
      </c>
      <c r="C5" s="6" t="n">
        <v>57</v>
      </c>
      <c r="D5" s="10" t="n">
        <v>55</v>
      </c>
      <c r="E5" s="6" t="n">
        <v>54</v>
      </c>
      <c r="F5" s="6" t="n">
        <v>51</v>
      </c>
      <c r="G5" s="6" t="n">
        <v>48</v>
      </c>
    </row>
    <row r="7">
      <c r="A7" s="3" t="inlineStr">
        <is>
          <t>【分析②】期ズレ（タイムライン遅延）シナリオ（★新設）</t>
        </is>
      </c>
    </row>
    <row r="8">
      <c r="A8" s="2" t="inlineStr">
        <is>
          <t>項目</t>
        </is>
      </c>
      <c r="B8" s="22" t="inlineStr">
        <is>
          <t>Base（計画通り）</t>
        </is>
      </c>
      <c r="C8" s="23" t="inlineStr">
        <is>
          <t>期ズレ6ヶ月（遅延）</t>
        </is>
      </c>
      <c r="D8" s="23" t="inlineStr">
        <is>
          <t>期ズレ12ヶ月（1年遅延）</t>
        </is>
      </c>
    </row>
    <row r="9">
      <c r="A9" s="13" t="inlineStr">
        <is>
          <t>Year2実効売上（万円）</t>
        </is>
      </c>
      <c r="B9" s="11" t="n">
        <v>11880</v>
      </c>
      <c r="C9" s="18" t="n">
        <v>6534</v>
      </c>
      <c r="D9" s="24" t="n">
        <v>4158</v>
      </c>
    </row>
    <row r="10">
      <c r="A10" s="13" t="inlineStr">
        <is>
          <t>Year2固定費（変化なし、万円）</t>
        </is>
      </c>
      <c r="B10" s="11" t="n">
        <v>8086</v>
      </c>
      <c r="C10" s="18" t="n">
        <v>8086</v>
      </c>
      <c r="D10" s="24" t="n">
        <v>8086</v>
      </c>
    </row>
    <row r="11">
      <c r="A11" s="12" t="inlineStr">
        <is>
          <t>Year2営業利益（万円）</t>
        </is>
      </c>
      <c r="B11" s="11" t="n">
        <v>2812</v>
      </c>
      <c r="C11" s="18" t="n">
        <v>-2140</v>
      </c>
      <c r="D11" s="24" t="n">
        <v>-4302</v>
      </c>
    </row>
    <row r="12">
      <c r="A12" s="12" t="inlineStr">
        <is>
          <t>Year2末現金残高推定（万円）</t>
        </is>
      </c>
      <c r="B12" s="11" t="n">
        <v>7426</v>
      </c>
      <c r="C12" s="18" t="n">
        <v>4753</v>
      </c>
      <c r="D12" s="24" t="n">
        <v>3565</v>
      </c>
    </row>
    <row r="13" ht="28" customHeight="1">
      <c r="A13" s="13" t="inlineStr">
        <is>
          <t>キャッシュショートの有無</t>
        </is>
      </c>
      <c r="B13" s="25" t="inlineStr">
        <is>
          <t>問題なし</t>
        </is>
      </c>
      <c r="C13" s="26" t="inlineStr">
        <is>
          <t>要注意（Series A前倒しを検討）</t>
        </is>
      </c>
      <c r="D13" s="27" t="inlineStr">
        <is>
          <t>ショートリスク高（追加資金調達必須）</t>
        </is>
      </c>
    </row>
    <row r="15">
      <c r="A15" s="3" t="inlineStr">
        <is>
          <t>【分析③】CAC悪化 × LTV/CAC ユニットエコノミクス（★新設）</t>
        </is>
      </c>
    </row>
    <row r="16">
      <c r="A16" s="4" t="inlineStr">
        <is>
          <t>CACシナリオ →</t>
        </is>
      </c>
      <c r="B16" s="4" t="inlineStr">
        <is>
          <t>CAC 15万
（Y1水準）</t>
        </is>
      </c>
      <c r="C16" s="22" t="inlineStr">
        <is>
          <t>CAC 25万
（Y2想定）</t>
        </is>
      </c>
      <c r="D16" s="22" t="inlineStr">
        <is>
          <t>CAC 40万
（Y3想定）</t>
        </is>
      </c>
      <c r="E16" s="28" t="inlineStr">
        <is>
          <t>CAC 50万
（1.5x悪化）</t>
        </is>
      </c>
      <c r="F16" s="28" t="inlineStr">
        <is>
          <t>CAC 80万
（2x悪化）</t>
        </is>
      </c>
    </row>
    <row r="17">
      <c r="A17" s="13" t="inlineStr">
        <is>
          <t>LTV（万円、固定）</t>
        </is>
      </c>
      <c r="B17" s="6" t="n">
        <v>380</v>
      </c>
      <c r="C17" s="6" t="n">
        <v>380</v>
      </c>
      <c r="D17" s="6" t="n">
        <v>380</v>
      </c>
      <c r="E17" s="6" t="n">
        <v>380</v>
      </c>
      <c r="F17" s="6" t="n">
        <v>380</v>
      </c>
    </row>
    <row r="18">
      <c r="A18" s="13" t="inlineStr">
        <is>
          <t>CAC（万円）</t>
        </is>
      </c>
      <c r="B18" s="6" t="n">
        <v>15</v>
      </c>
      <c r="C18" s="6" t="n">
        <v>25</v>
      </c>
      <c r="D18" s="6" t="n">
        <v>40</v>
      </c>
      <c r="E18" s="6" t="n">
        <v>50</v>
      </c>
      <c r="F18" s="6" t="n">
        <v>80</v>
      </c>
    </row>
    <row r="19">
      <c r="A19" s="12" t="inlineStr">
        <is>
          <t>LTV/CAC倍率</t>
        </is>
      </c>
      <c r="B19" s="29" t="n">
        <v>25.3</v>
      </c>
      <c r="C19" s="29" t="n">
        <v>15.2</v>
      </c>
      <c r="D19" s="29" t="n">
        <v>9.5</v>
      </c>
      <c r="E19" s="29" t="n">
        <v>7.6</v>
      </c>
      <c r="F19" s="29" t="n">
        <v>4.8</v>
      </c>
    </row>
    <row r="20">
      <c r="A20" s="13" t="inlineStr">
        <is>
          <t>CAC回収月数（月額粗利10万前提）</t>
        </is>
      </c>
      <c r="B20" s="30" t="n">
        <v>1.5</v>
      </c>
      <c r="C20" s="30" t="n">
        <v>2.5</v>
      </c>
      <c r="D20" s="30" t="n">
        <v>4</v>
      </c>
      <c r="E20" s="30" t="n">
        <v>5</v>
      </c>
      <c r="F20" s="30" t="n">
        <v>8</v>
      </c>
    </row>
    <row r="21">
      <c r="A21" s="12" t="inlineStr">
        <is>
          <t>ユニットエコノミクス判定</t>
        </is>
      </c>
      <c r="B21" s="31" t="inlineStr">
        <is>
          <t>◎ 優秀(3x+)</t>
        </is>
      </c>
      <c r="C21" s="31" t="inlineStr">
        <is>
          <t>◎ 優秀(3x+)</t>
        </is>
      </c>
      <c r="D21" s="31" t="inlineStr">
        <is>
          <t>◎ 優秀(3x+)</t>
        </is>
      </c>
      <c r="E21" s="31" t="inlineStr">
        <is>
          <t>◎ 優秀(3x+)</t>
        </is>
      </c>
      <c r="F21" s="31" t="inlineStr">
        <is>
          <t>◎ 優秀(3x+)</t>
        </is>
      </c>
    </row>
    <row r="24">
      <c r="A24" s="3" t="inlineStr">
        <is>
          <t>【分析④】3シナリオ P&amp;L（Base / Bull / Bear）</t>
        </is>
      </c>
    </row>
    <row r="25">
      <c r="A25" s="2" t="inlineStr">
        <is>
          <t>項目</t>
        </is>
      </c>
      <c r="B25" s="23" t="inlineStr">
        <is>
          <t>Bear（下振れ）</t>
        </is>
      </c>
      <c r="C25" s="22" t="inlineStr">
        <is>
          <t>Base（計画）</t>
        </is>
      </c>
      <c r="D25" s="32" t="inlineStr">
        <is>
          <t>Bull（上振れ）</t>
        </is>
      </c>
    </row>
    <row r="26">
      <c r="A26" s="13" t="inlineStr">
        <is>
          <t>Year2売上（万円）</t>
        </is>
      </c>
      <c r="B26" s="24" t="n">
        <v>8316</v>
      </c>
      <c r="C26" s="11" t="n">
        <v>11880</v>
      </c>
      <c r="D26" s="33" t="n">
        <v>15444</v>
      </c>
    </row>
    <row r="27">
      <c r="A27" s="12" t="inlineStr">
        <is>
          <t>Year2営業利益（万円）</t>
        </is>
      </c>
      <c r="B27" s="34" t="n">
        <v>-8007</v>
      </c>
      <c r="C27" s="10" t="n">
        <v>-6256</v>
      </c>
      <c r="D27" s="35" t="n">
        <v>-4959</v>
      </c>
    </row>
    <row r="28">
      <c r="A28" s="13" t="inlineStr">
        <is>
          <t>Year3売上（万円）</t>
        </is>
      </c>
      <c r="B28" s="24" t="n">
        <v>28630</v>
      </c>
      <c r="C28" s="11" t="n">
        <v>40900</v>
      </c>
      <c r="D28" s="33" t="n">
        <v>53170</v>
      </c>
    </row>
    <row r="29">
      <c r="A29" s="12" t="inlineStr">
        <is>
          <t>Year3営業利益（万円）</t>
        </is>
      </c>
      <c r="B29" s="34" t="n">
        <v>-17285</v>
      </c>
      <c r="C29" s="10" t="n">
        <v>-10116</v>
      </c>
      <c r="D29" s="35" t="n">
        <v>-4223</v>
      </c>
    </row>
  </sheetData>
  <mergeCells count="5">
    <mergeCell ref="A1:J1"/>
    <mergeCell ref="A3:J3"/>
    <mergeCell ref="A15:J15"/>
    <mergeCell ref="A7:J7"/>
    <mergeCell ref="A24:J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 ht="28" customHeight="1">
      <c r="A1" s="20" t="inlineStr">
        <is>
          <t>チャーン月次モデル — グロス新規獲得 vs ネット増加の動態（3年36ヶ月）</t>
        </is>
      </c>
    </row>
    <row r="2">
      <c r="A2" s="36" t="inlineStr">
        <is>
          <t>項目</t>
        </is>
      </c>
      <c r="B2" s="37" t="inlineStr">
        <is>
          <t>Year1（FY2026）</t>
        </is>
      </c>
      <c r="N2" s="38" t="inlineStr">
        <is>
          <t>Year2（FY2027）</t>
        </is>
      </c>
      <c r="Z2" s="39" t="inlineStr">
        <is>
          <t>Year3（FY2028）</t>
        </is>
      </c>
    </row>
    <row r="3">
      <c r="B3" s="40" t="inlineStr">
        <is>
          <t>M1</t>
        </is>
      </c>
      <c r="C3" s="40" t="inlineStr">
        <is>
          <t>M2</t>
        </is>
      </c>
      <c r="D3" s="40" t="inlineStr">
        <is>
          <t>M3</t>
        </is>
      </c>
      <c r="E3" s="40" t="inlineStr">
        <is>
          <t>M4</t>
        </is>
      </c>
      <c r="F3" s="40" t="inlineStr">
        <is>
          <t>M5</t>
        </is>
      </c>
      <c r="G3" s="40" t="inlineStr">
        <is>
          <t>M6</t>
        </is>
      </c>
      <c r="H3" s="40" t="inlineStr">
        <is>
          <t>M7</t>
        </is>
      </c>
      <c r="I3" s="40" t="inlineStr">
        <is>
          <t>M8</t>
        </is>
      </c>
      <c r="J3" s="40" t="inlineStr">
        <is>
          <t>M9</t>
        </is>
      </c>
      <c r="K3" s="40" t="inlineStr">
        <is>
          <t>M10</t>
        </is>
      </c>
      <c r="L3" s="40" t="inlineStr">
        <is>
          <t>M11</t>
        </is>
      </c>
      <c r="M3" s="40" t="inlineStr">
        <is>
          <t>M12</t>
        </is>
      </c>
      <c r="N3" s="40" t="inlineStr">
        <is>
          <t>M13</t>
        </is>
      </c>
      <c r="O3" s="40" t="inlineStr">
        <is>
          <t>M14</t>
        </is>
      </c>
      <c r="P3" s="40" t="inlineStr">
        <is>
          <t>M15</t>
        </is>
      </c>
      <c r="Q3" s="40" t="inlineStr">
        <is>
          <t>M16</t>
        </is>
      </c>
      <c r="R3" s="40" t="inlineStr">
        <is>
          <t>M17</t>
        </is>
      </c>
      <c r="S3" s="40" t="inlineStr">
        <is>
          <t>M18</t>
        </is>
      </c>
      <c r="T3" s="40" t="inlineStr">
        <is>
          <t>M19</t>
        </is>
      </c>
      <c r="U3" s="40" t="inlineStr">
        <is>
          <t>M20</t>
        </is>
      </c>
      <c r="V3" s="40" t="inlineStr">
        <is>
          <t>M21</t>
        </is>
      </c>
      <c r="W3" s="40" t="inlineStr">
        <is>
          <t>M22</t>
        </is>
      </c>
      <c r="X3" s="40" t="inlineStr">
        <is>
          <t>M23</t>
        </is>
      </c>
      <c r="Y3" s="40" t="inlineStr">
        <is>
          <t>M24</t>
        </is>
      </c>
      <c r="Z3" s="40" t="inlineStr">
        <is>
          <t>M25</t>
        </is>
      </c>
      <c r="AA3" s="40" t="inlineStr">
        <is>
          <t>M26</t>
        </is>
      </c>
      <c r="AB3" s="40" t="inlineStr">
        <is>
          <t>M27</t>
        </is>
      </c>
      <c r="AC3" s="40" t="inlineStr">
        <is>
          <t>M28</t>
        </is>
      </c>
      <c r="AD3" s="40" t="inlineStr">
        <is>
          <t>M29</t>
        </is>
      </c>
      <c r="AE3" s="40" t="inlineStr">
        <is>
          <t>M30</t>
        </is>
      </c>
      <c r="AF3" s="40" t="inlineStr">
        <is>
          <t>M31</t>
        </is>
      </c>
      <c r="AG3" s="40" t="inlineStr">
        <is>
          <t>M32</t>
        </is>
      </c>
      <c r="AH3" s="40" t="inlineStr">
        <is>
          <t>M33</t>
        </is>
      </c>
      <c r="AI3" s="40" t="inlineStr">
        <is>
          <t>M34</t>
        </is>
      </c>
      <c r="AJ3" s="40" t="inlineStr">
        <is>
          <t>M35</t>
        </is>
      </c>
      <c r="AK3" s="40" t="inlineStr">
        <is>
          <t>M36</t>
        </is>
      </c>
    </row>
    <row r="4">
      <c r="A4" s="12" t="inlineStr">
        <is>
          <t>契約社数（累計）</t>
        </is>
      </c>
      <c r="B4" s="41" t="n">
        <v>0.9</v>
      </c>
      <c r="C4" s="41" t="n">
        <v>1.8</v>
      </c>
      <c r="D4" s="41" t="n">
        <v>2.8</v>
      </c>
      <c r="E4" s="41" t="n">
        <v>3.6</v>
      </c>
      <c r="F4" s="41" t="n">
        <v>4.4</v>
      </c>
      <c r="G4" s="41" t="n">
        <v>5.2</v>
      </c>
      <c r="H4" s="41" t="n">
        <v>6</v>
      </c>
      <c r="I4" s="41" t="n">
        <v>6.8</v>
      </c>
      <c r="J4" s="41" t="n">
        <v>7.5</v>
      </c>
      <c r="K4" s="41" t="n">
        <v>8.199999999999999</v>
      </c>
      <c r="L4" s="41" t="n">
        <v>8.9</v>
      </c>
      <c r="M4" s="41" t="n">
        <v>9.6</v>
      </c>
      <c r="N4" s="41" t="n">
        <v>13.5</v>
      </c>
      <c r="O4" s="41" t="n">
        <v>17.3</v>
      </c>
      <c r="P4" s="41" t="n">
        <v>21</v>
      </c>
      <c r="Q4" s="41" t="n">
        <v>24.6</v>
      </c>
      <c r="R4" s="41" t="n">
        <v>28</v>
      </c>
      <c r="S4" s="41" t="n">
        <v>31.4</v>
      </c>
      <c r="T4" s="41" t="n">
        <v>34.7</v>
      </c>
      <c r="U4" s="41" t="n">
        <v>37.9</v>
      </c>
      <c r="V4" s="41" t="n">
        <v>41.1</v>
      </c>
      <c r="W4" s="41" t="n">
        <v>44.1</v>
      </c>
      <c r="X4" s="41" t="n">
        <v>47.1</v>
      </c>
      <c r="Y4" s="41" t="n">
        <v>50</v>
      </c>
      <c r="Z4" s="41" t="n">
        <v>60.1</v>
      </c>
      <c r="AA4" s="41" t="n">
        <v>70</v>
      </c>
      <c r="AB4" s="41" t="n">
        <v>79.7</v>
      </c>
      <c r="AC4" s="41" t="n">
        <v>89.2</v>
      </c>
      <c r="AD4" s="41" t="n">
        <v>98.5</v>
      </c>
      <c r="AE4" s="41" t="n">
        <v>107.6</v>
      </c>
      <c r="AF4" s="41" t="n">
        <v>116.5</v>
      </c>
      <c r="AG4" s="41" t="n">
        <v>125.3</v>
      </c>
      <c r="AH4" s="41" t="n">
        <v>133.9</v>
      </c>
      <c r="AI4" s="41" t="n">
        <v>142.3</v>
      </c>
      <c r="AJ4" s="41" t="n">
        <v>150.6</v>
      </c>
      <c r="AK4" s="41" t="n">
        <v>158.7</v>
      </c>
    </row>
    <row r="5">
      <c r="A5" s="13" t="inlineStr">
        <is>
          <t>グロス新規獲得（社/月）</t>
        </is>
      </c>
      <c r="B5" s="42" t="n">
        <v>0.9</v>
      </c>
      <c r="C5" s="42" t="n">
        <v>0.9</v>
      </c>
      <c r="D5" s="42" t="n">
        <v>0.9</v>
      </c>
      <c r="E5" s="42" t="n">
        <v>0.9</v>
      </c>
      <c r="F5" s="42" t="n">
        <v>0.9</v>
      </c>
      <c r="G5" s="42" t="n">
        <v>0.9</v>
      </c>
      <c r="H5" s="42" t="n">
        <v>0.9</v>
      </c>
      <c r="I5" s="42" t="n">
        <v>0.9</v>
      </c>
      <c r="J5" s="42" t="n">
        <v>0.9</v>
      </c>
      <c r="K5" s="42" t="n">
        <v>0.9</v>
      </c>
      <c r="L5" s="42" t="n">
        <v>0.9</v>
      </c>
      <c r="M5" s="42" t="n">
        <v>0.9</v>
      </c>
      <c r="N5" s="42" t="n">
        <v>4.1</v>
      </c>
      <c r="O5" s="42" t="n">
        <v>4.1</v>
      </c>
      <c r="P5" s="42" t="n">
        <v>4.1</v>
      </c>
      <c r="Q5" s="42" t="n">
        <v>4.1</v>
      </c>
      <c r="R5" s="42" t="n">
        <v>4.1</v>
      </c>
      <c r="S5" s="42" t="n">
        <v>4.1</v>
      </c>
      <c r="T5" s="42" t="n">
        <v>4.1</v>
      </c>
      <c r="U5" s="42" t="n">
        <v>4.1</v>
      </c>
      <c r="V5" s="42" t="n">
        <v>4.1</v>
      </c>
      <c r="W5" s="42" t="n">
        <v>4.1</v>
      </c>
      <c r="X5" s="42" t="n">
        <v>4.1</v>
      </c>
      <c r="Y5" s="42" t="n">
        <v>4.1</v>
      </c>
      <c r="Z5" s="42" t="n">
        <v>11.1</v>
      </c>
      <c r="AA5" s="42" t="n">
        <v>11.1</v>
      </c>
      <c r="AB5" s="42" t="n">
        <v>11.1</v>
      </c>
      <c r="AC5" s="42" t="n">
        <v>11.1</v>
      </c>
      <c r="AD5" s="42" t="n">
        <v>11.1</v>
      </c>
      <c r="AE5" s="42" t="n">
        <v>11.1</v>
      </c>
      <c r="AF5" s="42" t="n">
        <v>11.1</v>
      </c>
      <c r="AG5" s="42" t="n">
        <v>11.1</v>
      </c>
      <c r="AH5" s="42" t="n">
        <v>11.1</v>
      </c>
      <c r="AI5" s="42" t="n">
        <v>11.1</v>
      </c>
      <c r="AJ5" s="42" t="n">
        <v>11.1</v>
      </c>
      <c r="AK5" s="42" t="n">
        <v>11.1</v>
      </c>
    </row>
    <row r="6">
      <c r="A6" s="13" t="inlineStr">
        <is>
          <t>解約数（チャーン）</t>
        </is>
      </c>
      <c r="B6" s="43" t="n">
        <v>0</v>
      </c>
      <c r="C6" s="43" t="n">
        <v>0</v>
      </c>
      <c r="D6" s="43" t="n">
        <v>0</v>
      </c>
      <c r="E6" s="43" t="n">
        <v>0.1</v>
      </c>
      <c r="F6" s="43" t="n">
        <v>0.1</v>
      </c>
      <c r="G6" s="43" t="n">
        <v>0.1</v>
      </c>
      <c r="H6" s="43" t="n">
        <v>0.1</v>
      </c>
      <c r="I6" s="43" t="n">
        <v>0.2</v>
      </c>
      <c r="J6" s="43" t="n">
        <v>0.2</v>
      </c>
      <c r="K6" s="43" t="n">
        <v>0.2</v>
      </c>
      <c r="L6" s="43" t="n">
        <v>0.2</v>
      </c>
      <c r="M6" s="43" t="n">
        <v>0.2</v>
      </c>
      <c r="N6" s="43" t="n">
        <v>0.2</v>
      </c>
      <c r="O6" s="43" t="n">
        <v>0.3</v>
      </c>
      <c r="P6" s="43" t="n">
        <v>0.4</v>
      </c>
      <c r="Q6" s="43" t="n">
        <v>0.5</v>
      </c>
      <c r="R6" s="43" t="n">
        <v>0.6</v>
      </c>
      <c r="S6" s="43" t="n">
        <v>0.7</v>
      </c>
      <c r="T6" s="43" t="n">
        <v>0.8</v>
      </c>
      <c r="U6" s="43" t="n">
        <v>0.9</v>
      </c>
      <c r="V6" s="43" t="n">
        <v>0.9</v>
      </c>
      <c r="W6" s="43" t="n">
        <v>1</v>
      </c>
      <c r="X6" s="43" t="n">
        <v>1.1</v>
      </c>
      <c r="Y6" s="43" t="n">
        <v>1.2</v>
      </c>
      <c r="Z6" s="43" t="n">
        <v>1</v>
      </c>
      <c r="AA6" s="43" t="n">
        <v>1.2</v>
      </c>
      <c r="AB6" s="43" t="n">
        <v>1.4</v>
      </c>
      <c r="AC6" s="43" t="n">
        <v>1.6</v>
      </c>
      <c r="AD6" s="43" t="n">
        <v>1.8</v>
      </c>
      <c r="AE6" s="43" t="n">
        <v>2</v>
      </c>
      <c r="AF6" s="43" t="n">
        <v>2.2</v>
      </c>
      <c r="AG6" s="43" t="n">
        <v>2.3</v>
      </c>
      <c r="AH6" s="43" t="n">
        <v>2.5</v>
      </c>
      <c r="AI6" s="43" t="n">
        <v>2.7</v>
      </c>
      <c r="AJ6" s="43" t="n">
        <v>2.8</v>
      </c>
      <c r="AK6" s="43" t="n">
        <v>3</v>
      </c>
    </row>
    <row r="7">
      <c r="A7" s="13" t="inlineStr">
        <is>
          <t>ネット増減</t>
        </is>
      </c>
      <c r="B7" s="42" t="n">
        <v>0.9</v>
      </c>
      <c r="C7" s="42" t="n">
        <v>0.9</v>
      </c>
      <c r="D7" s="42" t="n">
        <v>0.9</v>
      </c>
      <c r="E7" s="42" t="n">
        <v>0.8</v>
      </c>
      <c r="F7" s="42" t="n">
        <v>0.8</v>
      </c>
      <c r="G7" s="42" t="n">
        <v>0.8</v>
      </c>
      <c r="H7" s="42" t="n">
        <v>0.8</v>
      </c>
      <c r="I7" s="42" t="n">
        <v>0.7</v>
      </c>
      <c r="J7" s="42" t="n">
        <v>0.7</v>
      </c>
      <c r="K7" s="42" t="n">
        <v>0.7</v>
      </c>
      <c r="L7" s="42" t="n">
        <v>0.7</v>
      </c>
      <c r="M7" s="42" t="n">
        <v>0.7</v>
      </c>
      <c r="N7" s="42" t="n">
        <v>3.9</v>
      </c>
      <c r="O7" s="42" t="n">
        <v>3.8</v>
      </c>
      <c r="P7" s="42" t="n">
        <v>3.7</v>
      </c>
      <c r="Q7" s="42" t="n">
        <v>3.6</v>
      </c>
      <c r="R7" s="42" t="n">
        <v>3.5</v>
      </c>
      <c r="S7" s="42" t="n">
        <v>3.4</v>
      </c>
      <c r="T7" s="42" t="n">
        <v>3.3</v>
      </c>
      <c r="U7" s="42" t="n">
        <v>3.2</v>
      </c>
      <c r="V7" s="42" t="n">
        <v>3.2</v>
      </c>
      <c r="W7" s="42" t="n">
        <v>3.1</v>
      </c>
      <c r="X7" s="42" t="n">
        <v>3</v>
      </c>
      <c r="Y7" s="42" t="n">
        <v>2.9</v>
      </c>
      <c r="Z7" s="42" t="n">
        <v>10.1</v>
      </c>
      <c r="AA7" s="42" t="n">
        <v>9.9</v>
      </c>
      <c r="AB7" s="42" t="n">
        <v>9.699999999999999</v>
      </c>
      <c r="AC7" s="42" t="n">
        <v>9.5</v>
      </c>
      <c r="AD7" s="42" t="n">
        <v>9.300000000000001</v>
      </c>
      <c r="AE7" s="42" t="n">
        <v>9.1</v>
      </c>
      <c r="AF7" s="42" t="n">
        <v>8.9</v>
      </c>
      <c r="AG7" s="42" t="n">
        <v>8.800000000000001</v>
      </c>
      <c r="AH7" s="42" t="n">
        <v>8.6</v>
      </c>
      <c r="AI7" s="42" t="n">
        <v>8.4</v>
      </c>
      <c r="AJ7" s="42" t="n">
        <v>8.300000000000001</v>
      </c>
      <c r="AK7" s="42" t="n">
        <v>8.1</v>
      </c>
    </row>
    <row r="8">
      <c r="A8" s="12" t="inlineStr">
        <is>
          <t>B2B月次売上（万円）</t>
        </is>
      </c>
      <c r="B8" s="44" t="n">
        <v>18</v>
      </c>
      <c r="C8" s="44" t="n">
        <v>37</v>
      </c>
      <c r="D8" s="44" t="n">
        <v>55</v>
      </c>
      <c r="E8" s="44" t="n">
        <v>72</v>
      </c>
      <c r="F8" s="44" t="n">
        <v>88</v>
      </c>
      <c r="G8" s="44" t="n">
        <v>104</v>
      </c>
      <c r="H8" s="44" t="n">
        <v>121</v>
      </c>
      <c r="I8" s="44" t="n">
        <v>135</v>
      </c>
      <c r="J8" s="44" t="n">
        <v>150</v>
      </c>
      <c r="K8" s="44" t="n">
        <v>164</v>
      </c>
      <c r="L8" s="44" t="n">
        <v>178</v>
      </c>
      <c r="M8" s="44" t="n">
        <v>193</v>
      </c>
      <c r="N8" s="44" t="n">
        <v>311</v>
      </c>
      <c r="O8" s="44" t="n">
        <v>398</v>
      </c>
      <c r="P8" s="44" t="n">
        <v>483</v>
      </c>
      <c r="Q8" s="44" t="n">
        <v>565</v>
      </c>
      <c r="R8" s="44" t="n">
        <v>645</v>
      </c>
      <c r="S8" s="44" t="n">
        <v>723</v>
      </c>
      <c r="T8" s="44" t="n">
        <v>798</v>
      </c>
      <c r="U8" s="44" t="n">
        <v>871</v>
      </c>
      <c r="V8" s="44" t="n">
        <v>944</v>
      </c>
      <c r="W8" s="44" t="n">
        <v>1015</v>
      </c>
      <c r="X8" s="44" t="n">
        <v>1084</v>
      </c>
      <c r="Y8" s="44" t="n">
        <v>1150</v>
      </c>
      <c r="Z8" s="44" t="n">
        <v>1502</v>
      </c>
      <c r="AA8" s="44" t="n">
        <v>1750</v>
      </c>
      <c r="AB8" s="44" t="n">
        <v>1992</v>
      </c>
      <c r="AC8" s="44" t="n">
        <v>2230</v>
      </c>
      <c r="AD8" s="44" t="n">
        <v>2462</v>
      </c>
      <c r="AE8" s="44" t="n">
        <v>2690</v>
      </c>
      <c r="AF8" s="44" t="n">
        <v>2912</v>
      </c>
      <c r="AG8" s="44" t="n">
        <v>3132</v>
      </c>
      <c r="AH8" s="44" t="n">
        <v>3348</v>
      </c>
      <c r="AI8" s="44" t="n">
        <v>3558</v>
      </c>
      <c r="AJ8" s="44" t="n">
        <v>3765</v>
      </c>
      <c r="AK8" s="44" t="n">
        <v>3968</v>
      </c>
    </row>
    <row r="10" ht="36" customHeight="1">
      <c r="A10" s="19" t="inlineStr">
        <is>
          <t>【チャーン前提】月次2.5%（Y1-Y2）→ 2.0%（Y3）。年間チャーン率=約26%。グロス新規獲得（Y1:11社/Y2:49社/Y3:133社）がネット目標（10/50/160社）達成に必要な真の営業KPI。</t>
        </is>
      </c>
    </row>
  </sheetData>
  <mergeCells count="5">
    <mergeCell ref="B2:M2"/>
    <mergeCell ref="Z2:AK2"/>
    <mergeCell ref="N2:Y2"/>
    <mergeCell ref="A10:AK10"/>
    <mergeCell ref="A1:A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 ht="28" customHeight="1">
      <c r="A1" s="16" t="inlineStr">
        <is>
          <t>SME向け月額サービス 市場相場調査 &amp; UNLID単価根拠</t>
        </is>
      </c>
    </row>
    <row r="2">
      <c r="A2" s="2" t="inlineStr">
        <is>
          <t>サービス種別</t>
        </is>
      </c>
      <c r="B2" s="2" t="inlineStr">
        <is>
          <t>市場相場（月額）</t>
        </is>
      </c>
      <c r="C2" s="2" t="inlineStr">
        <is>
          <t>UNLID比較</t>
        </is>
      </c>
      <c r="D2" s="2" t="inlineStr">
        <is>
          <t>UNLID優位性</t>
        </is>
      </c>
    </row>
    <row r="3" ht="22" customHeight="1">
      <c r="A3" s="45" t="inlineStr">
        <is>
          <t>BPO/記帳代行</t>
        </is>
      </c>
      <c r="B3" s="46" t="inlineStr">
        <is>
          <t>3〜15万円</t>
        </is>
      </c>
      <c r="C3" s="46" t="inlineStr">
        <is>
          <t>割高</t>
        </is>
      </c>
      <c r="D3" s="45" t="inlineStr">
        <is>
          <t>AIによる自動化付加価値</t>
        </is>
      </c>
    </row>
    <row r="4" ht="22" customHeight="1">
      <c r="A4" s="45" t="inlineStr">
        <is>
          <t>人事・労務コンサル</t>
        </is>
      </c>
      <c r="B4" s="46" t="inlineStr">
        <is>
          <t>10〜25万円</t>
        </is>
      </c>
      <c r="C4" s="46" t="inlineStr">
        <is>
          <t>同水準</t>
        </is>
      </c>
      <c r="D4" s="45" t="inlineStr">
        <is>
          <t>AI採用+完遂ログで差別化</t>
        </is>
      </c>
    </row>
    <row r="5" ht="22" customHeight="1">
      <c r="A5" s="45" t="inlineStr">
        <is>
          <t>IT/DXアドバイザリー</t>
        </is>
      </c>
      <c r="B5" s="46" t="inlineStr">
        <is>
          <t>10〜30万円</t>
        </is>
      </c>
      <c r="C5" s="46" t="inlineStr">
        <is>
          <t>同水準〜やや割高</t>
        </is>
      </c>
      <c r="D5" s="45" t="inlineStr">
        <is>
          <t>SME向け実装まで完遂</t>
        </is>
      </c>
    </row>
    <row r="6" ht="22" customHeight="1">
      <c r="A6" s="45" t="inlineStr">
        <is>
          <t>フラクショナルCTO</t>
        </is>
      </c>
      <c r="B6" s="46" t="inlineStr">
        <is>
          <t>30〜60万円</t>
        </is>
      </c>
      <c r="C6" s="46" t="inlineStr">
        <is>
          <t>割安（UNLID=20〜25万）</t>
        </is>
      </c>
      <c r="D6" s="45" t="inlineStr">
        <is>
          <t>成果責任付きで格安</t>
        </is>
      </c>
    </row>
    <row r="7" ht="22" customHeight="1">
      <c r="A7" s="45" t="inlineStr">
        <is>
          <t>大手DXコンサル</t>
        </is>
      </c>
      <c r="B7" s="46" t="inlineStr">
        <is>
          <t>50万〜200万円</t>
        </is>
      </c>
      <c r="C7" s="46" t="inlineStr">
        <is>
          <t>圧倒的に割安</t>
        </is>
      </c>
      <c r="D7" s="45" t="inlineStr">
        <is>
          <t>SMEには不要な機能を省略</t>
        </is>
      </c>
    </row>
    <row r="8" ht="22" customHeight="1">
      <c r="A8" s="45" t="inlineStr">
        <is>
          <t>AIプロジェクト導入</t>
        </is>
      </c>
      <c r="B8" s="46" t="inlineStr">
        <is>
          <t>30〜150万円（単発）</t>
        </is>
      </c>
      <c r="C8" s="46" t="inlineStr">
        <is>
          <t>同水準（月額継続が強み）</t>
        </is>
      </c>
      <c r="D8" s="45" t="inlineStr">
        <is>
          <t>月次継続でLTV大</t>
        </is>
      </c>
    </row>
    <row r="9" ht="22" customHeight="1">
      <c r="A9" s="47" t="inlineStr">
        <is>
          <t>UNLID（FDE月次顧問）</t>
        </is>
      </c>
      <c r="B9" s="25" t="inlineStr">
        <is>
          <t>20〜25万円 ★</t>
        </is>
      </c>
      <c r="C9" s="25" t="inlineStr">
        <is>
          <t>—</t>
        </is>
      </c>
      <c r="D9" s="47" t="inlineStr">
        <is>
          <t>成果責任×副業育成×ログ×紹介</t>
        </is>
      </c>
    </row>
    <row r="11">
      <c r="A11" s="3" t="inlineStr">
        <is>
          <t>チャーン率の妥当性根拠（月額帯別）</t>
        </is>
      </c>
    </row>
    <row r="12">
      <c r="A12" s="4" t="inlineStr">
        <is>
          <t>月額帯</t>
        </is>
      </c>
      <c r="B12" s="4" t="inlineStr">
        <is>
          <t>12ヶ月継続率</t>
        </is>
      </c>
      <c r="C12" s="4" t="inlineStr">
        <is>
          <t>月次チャーン率換算</t>
        </is>
      </c>
      <c r="D12" s="4" t="inlineStr">
        <is>
          <t>UNLID想定</t>
        </is>
      </c>
    </row>
    <row r="13">
      <c r="A13" s="48" t="inlineStr">
        <is>
          <t>5〜10万円</t>
        </is>
      </c>
      <c r="B13" s="48" t="inlineStr">
        <is>
          <t>40〜55%</t>
        </is>
      </c>
      <c r="C13" s="48" t="inlineStr">
        <is>
          <t>5.0〜7.5%/月</t>
        </is>
      </c>
      <c r="D13" s="48" t="inlineStr">
        <is>
          <t>対象外</t>
        </is>
      </c>
    </row>
    <row r="14">
      <c r="A14" s="48" t="inlineStr">
        <is>
          <t>10〜20万円</t>
        </is>
      </c>
      <c r="B14" s="48" t="inlineStr">
        <is>
          <t>50〜65%</t>
        </is>
      </c>
      <c r="C14" s="48" t="inlineStr">
        <is>
          <t>3.7〜5.8%/月</t>
        </is>
      </c>
      <c r="D14" s="48" t="inlineStr">
        <is>
          <t>参考</t>
        </is>
      </c>
    </row>
    <row r="15">
      <c r="A15" s="31" t="inlineStr">
        <is>
          <t>20〜30万円（UNLID帯）</t>
        </is>
      </c>
      <c r="B15" s="31" t="inlineStr">
        <is>
          <t>65〜75%</t>
        </is>
      </c>
      <c r="C15" s="31" t="inlineStr">
        <is>
          <t>2.4〜3.5%/月</t>
        </is>
      </c>
      <c r="D15" s="31" t="inlineStr">
        <is>
          <t>★ Base=2.5%/月採用</t>
        </is>
      </c>
    </row>
    <row r="16">
      <c r="A16" s="48" t="inlineStr">
        <is>
          <t>30〜60万円</t>
        </is>
      </c>
      <c r="B16" s="48" t="inlineStr">
        <is>
          <t>65〜75%</t>
        </is>
      </c>
      <c r="C16" s="48" t="inlineStr">
        <is>
          <t>2.4〜3.5%/月</t>
        </is>
      </c>
      <c r="D16" s="48" t="inlineStr">
        <is>
          <t>参考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2026-03-22T18:51:30Z</dcterms:created>
  <dcterms:modified xsi:type="dcterms:W3CDTF">2026-03-22T18:51:30Z</dcterms:modified>
</cp:coreProperties>
</file>