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人員計画" sheetId="2" state="visible" r:id="rId2"/>
    <sheet name="PL（損益計算書）" sheetId="3" state="visible" r:id="rId3"/>
    <sheet name="BS（貸借対照表）" sheetId="4" state="visible" r:id="rId4"/>
    <sheet name="月次CF（36ヶ月）" sheetId="5" state="visible" r:id="rId5"/>
    <sheet name="感度分析" sheetId="6" state="visible" r:id="rId6"/>
    <sheet name="SME単価市場調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b val="1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9C4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4" fontId="4" fillId="12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3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UNLID 財務モデル 前提条件 v4.2  ─  単位：万円  |  中央値シナリオ</t>
        </is>
      </c>
    </row>
    <row r="2">
      <c r="A2" s="2" t="inlineStr">
        <is>
          <t>v4.2変更：COGS/SG&amp;A完全展開 ／ 人員計画連動 ／ 運転資本サイト ／ 設備投資・償却 ／ 資金調達前提 追加</t>
        </is>
      </c>
    </row>
    <row r="4" ht="20" customHeight="1">
      <c r="A4" s="3" t="inlineStr">
        <is>
          <t>① 売上ドライバー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 t="n">
        <v>20</v>
      </c>
      <c r="C7" s="6" t="n">
        <v>23</v>
      </c>
      <c r="D7" s="6" t="n">
        <v>25</v>
      </c>
    </row>
    <row r="8">
      <c r="A8" s="7" t="inlineStr">
        <is>
          <t>B2B受託収益（万円）</t>
        </is>
      </c>
      <c r="B8" s="8">
        <f>B6*B7*12</f>
        <v/>
      </c>
      <c r="C8" s="8">
        <f>C6*C7*12</f>
        <v/>
      </c>
      <c r="D8" s="8">
        <f>D6*D7*12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20</v>
      </c>
      <c r="D9" s="6" t="n">
        <v>50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プロジェクト単価（万円/件・ベース）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B8+B11+B14</f>
        <v/>
      </c>
      <c r="C15" s="10">
        <f>C8+C11+C14</f>
        <v/>
      </c>
      <c r="D15" s="10">
        <f>D8+D11+D14</f>
        <v/>
      </c>
    </row>
    <row r="16">
      <c r="A16" s="2" t="inlineStr">
        <is>
          <t>※ B2Bは期末社数×単価×12ヶ月（期中平均で計算する場合は別途月次CFシート参照）</t>
        </is>
      </c>
    </row>
    <row r="18" ht="20" customHeight="1">
      <c r="A18" s="3" t="inlineStr">
        <is>
          <t>② COGS（売上原価）前提  ─  サーバー/API費・外注費</t>
        </is>
      </c>
    </row>
    <row r="19">
      <c r="A19" s="4" t="inlineStr">
        <is>
          <t>項目</t>
        </is>
      </c>
      <c r="B19" s="4" t="inlineStr">
        <is>
          <t>Year1</t>
        </is>
      </c>
      <c r="C19" s="4" t="inlineStr">
        <is>
          <t>Year2</t>
        </is>
      </c>
      <c r="D19" s="4" t="inlineStr">
        <is>
          <t>Year3</t>
        </is>
      </c>
    </row>
    <row r="20">
      <c r="A20" s="5" t="inlineStr">
        <is>
          <t>AIサーバー・インフラ費（万円）</t>
        </is>
      </c>
      <c r="B20" s="6" t="n">
        <v>24</v>
      </c>
      <c r="C20" s="6" t="n">
        <v>72</v>
      </c>
      <c r="D20" s="6" t="n">
        <v>180</v>
      </c>
    </row>
    <row r="21">
      <c r="A21" s="5" t="inlineStr">
        <is>
          <t>外部API利用料（OpenAI等・万円）</t>
        </is>
      </c>
      <c r="B21" s="6" t="n">
        <v>12</v>
      </c>
      <c r="C21" s="6" t="n">
        <v>60</v>
      </c>
      <c r="D21" s="6" t="n">
        <v>180</v>
      </c>
    </row>
    <row r="22">
      <c r="A22" s="5" t="inlineStr">
        <is>
          <t>副業ワーカー報酬率（対B2B受託売上）</t>
        </is>
      </c>
      <c r="B22" s="11" t="n">
        <v>0.09</v>
      </c>
      <c r="C22" s="11" t="n">
        <v>0.08</v>
      </c>
      <c r="D22" s="11" t="n">
        <v>0.08</v>
      </c>
    </row>
    <row r="23">
      <c r="A23" s="5" t="inlineStr">
        <is>
          <t>副業ワーカー報酬（万円）</t>
        </is>
      </c>
      <c r="B23" s="6">
        <f>B8*B22</f>
        <v/>
      </c>
      <c r="C23" s="6">
        <f>C8*C22</f>
        <v/>
      </c>
      <c r="D23" s="6">
        <f>D8*D22</f>
        <v/>
      </c>
    </row>
    <row r="24">
      <c r="A24" s="5" t="inlineStr">
        <is>
          <t>外注エンジニア費（プロジェクト分・万円）</t>
        </is>
      </c>
      <c r="B24" s="6" t="n">
        <v>0</v>
      </c>
      <c r="C24" s="6" t="n">
        <v>200</v>
      </c>
      <c r="D24" s="6" t="n">
        <v>600</v>
      </c>
    </row>
    <row r="25">
      <c r="A25" s="12" t="inlineStr">
        <is>
          <t>COGS合計（万円）</t>
        </is>
      </c>
      <c r="B25" s="13">
        <f>SUM(B20:B24)</f>
        <v/>
      </c>
      <c r="C25" s="13">
        <f>SUM(C20:C24)</f>
        <v/>
      </c>
      <c r="D25" s="13">
        <f>SUM(D20:D24)</f>
        <v/>
      </c>
    </row>
    <row r="26">
      <c r="A26" s="14" t="inlineStr">
        <is>
          <t>売上総利益（万円）</t>
        </is>
      </c>
      <c r="B26" s="15">
        <f>B15-B25</f>
        <v/>
      </c>
      <c r="C26" s="15">
        <f>C15-C25</f>
        <v/>
      </c>
      <c r="D26" s="15">
        <f>D15-D25</f>
        <v/>
      </c>
    </row>
    <row r="27">
      <c r="A27" s="16" t="inlineStr">
        <is>
          <t>粗利率</t>
        </is>
      </c>
      <c r="B27" s="17">
        <f>B26/B15</f>
        <v/>
      </c>
      <c r="C27" s="17">
        <f>C26/C15</f>
        <v/>
      </c>
      <c r="D27" s="17">
        <f>D26/D15</f>
        <v/>
      </c>
    </row>
    <row r="29" ht="20" customHeight="1">
      <c r="A29" s="3" t="inlineStr">
        <is>
          <t>③ SG&amp;A（販売費及び一般管理費）前提  ─  人員計画シートと連動</t>
        </is>
      </c>
    </row>
    <row r="30">
      <c r="A30" s="4" t="inlineStr">
        <is>
          <t>項目</t>
        </is>
      </c>
      <c r="B30" s="4" t="inlineStr">
        <is>
          <t>Year1</t>
        </is>
      </c>
      <c r="C30" s="4" t="inlineStr">
        <is>
          <t>Year2</t>
        </is>
      </c>
      <c r="D30" s="4" t="inlineStr">
        <is>
          <t>Year3</t>
        </is>
      </c>
    </row>
    <row r="31">
      <c r="A31" s="16" t="inlineStr">
        <is>
          <t>人件費合計（万円）※人員計画シート参照</t>
        </is>
      </c>
      <c r="B31" s="18">
        <f>人員計画!D32</f>
        <v/>
      </c>
      <c r="C31" s="18">
        <f>人員計画!E32</f>
        <v/>
      </c>
      <c r="D31" s="18">
        <f>人員計画!F32</f>
        <v/>
      </c>
    </row>
    <row r="32">
      <c r="A32" s="16" t="inlineStr">
        <is>
          <t>採用費合計（万円）※人員計画シート参照</t>
        </is>
      </c>
      <c r="B32" s="18">
        <f>人員計画!D42</f>
        <v/>
      </c>
      <c r="C32" s="18">
        <f>人員計画!E42</f>
        <v/>
      </c>
      <c r="D32" s="18">
        <f>人員計画!F42</f>
        <v/>
      </c>
    </row>
    <row r="33">
      <c r="A33" s="5" t="inlineStr">
        <is>
          <t>B2Bマーケティング・CAC費（万円）</t>
        </is>
      </c>
      <c r="B33" s="6" t="n">
        <v>120</v>
      </c>
      <c r="C33" s="6" t="n">
        <v>360</v>
      </c>
      <c r="D33" s="6" t="n">
        <v>600</v>
      </c>
    </row>
    <row r="34">
      <c r="A34" s="5" t="inlineStr">
        <is>
          <t>人材紹介 候補者集客広告費（万円）</t>
        </is>
      </c>
      <c r="B34" s="6" t="n">
        <v>30</v>
      </c>
      <c r="C34" s="6" t="n">
        <v>200</v>
      </c>
      <c r="D34" s="6" t="n">
        <v>500</v>
      </c>
    </row>
    <row r="35">
      <c r="A35" s="5" t="inlineStr">
        <is>
          <t>地代家賃・オフィス費（万円）</t>
        </is>
      </c>
      <c r="B35" s="6" t="n">
        <v>60</v>
      </c>
      <c r="C35" s="6" t="n">
        <v>180</v>
      </c>
      <c r="D35" s="6" t="n">
        <v>360</v>
      </c>
    </row>
    <row r="36">
      <c r="A36" s="5" t="inlineStr">
        <is>
          <t>SaaSツール・システム費（万円）</t>
        </is>
      </c>
      <c r="B36" s="6" t="n">
        <v>60</v>
      </c>
      <c r="C36" s="6" t="n">
        <v>120</v>
      </c>
      <c r="D36" s="6" t="n">
        <v>240</v>
      </c>
    </row>
    <row r="37">
      <c r="A37" s="5" t="inlineStr">
        <is>
          <t>法務・許認可・顧問費（万円）</t>
        </is>
      </c>
      <c r="B37" s="6" t="n">
        <v>200</v>
      </c>
      <c r="C37" s="6" t="n">
        <v>300</v>
      </c>
      <c r="D37" s="6" t="n">
        <v>400</v>
      </c>
    </row>
    <row r="38">
      <c r="A38" s="5" t="inlineStr">
        <is>
          <t>その他固定費（万円）</t>
        </is>
      </c>
      <c r="B38" s="6" t="n">
        <v>60</v>
      </c>
      <c r="C38" s="6" t="n">
        <v>120</v>
      </c>
      <c r="D38" s="6" t="n">
        <v>200</v>
      </c>
    </row>
    <row r="39">
      <c r="A39" s="12" t="inlineStr">
        <is>
          <t>SG&amp;A合計（万円）</t>
        </is>
      </c>
      <c r="B39" s="13">
        <f>SUM(B31:B38)</f>
        <v/>
      </c>
      <c r="C39" s="13">
        <f>SUM(C31:C38)</f>
        <v/>
      </c>
      <c r="D39" s="13">
        <f>SUM(D31:D38)</f>
        <v/>
      </c>
    </row>
    <row r="40">
      <c r="A40" s="9" t="inlineStr">
        <is>
          <t>営業利益（万円）</t>
        </is>
      </c>
      <c r="B40" s="10">
        <f>B26-B39</f>
        <v/>
      </c>
      <c r="C40" s="10">
        <f>C26-C39</f>
        <v/>
      </c>
      <c r="D40" s="10">
        <f>D26-D39</f>
        <v/>
      </c>
    </row>
    <row r="41">
      <c r="A41" s="16" t="inlineStr">
        <is>
          <t>営業利益率</t>
        </is>
      </c>
      <c r="B41" s="17">
        <f>B40/B15</f>
        <v/>
      </c>
      <c r="C41" s="17">
        <f>C40/C15</f>
        <v/>
      </c>
      <c r="D41" s="17">
        <f>D40/D15</f>
        <v/>
      </c>
    </row>
    <row r="43" ht="20" customHeight="1">
      <c r="A43" s="3" t="inlineStr">
        <is>
          <t>④ 運転資本サイト（売掛金・買掛金）</t>
        </is>
      </c>
    </row>
    <row r="44">
      <c r="A44" s="4" t="inlineStr">
        <is>
          <t>項目</t>
        </is>
      </c>
      <c r="B44" s="4" t="inlineStr">
        <is>
          <t>Year1</t>
        </is>
      </c>
      <c r="C44" s="4" t="inlineStr">
        <is>
          <t>Year2</t>
        </is>
      </c>
      <c r="D44" s="4" t="inlineStr">
        <is>
          <t>Year3</t>
        </is>
      </c>
    </row>
    <row r="45">
      <c r="A45" s="5" t="inlineStr">
        <is>
          <t>売掛金 回収サイト（日）─ 月末締め翌月末払い</t>
        </is>
      </c>
      <c r="B45" s="6" t="n">
        <v>30</v>
      </c>
      <c r="C45" s="6" t="n">
        <v>30</v>
      </c>
      <c r="D45" s="6" t="n">
        <v>30</v>
      </c>
    </row>
    <row r="46">
      <c r="A46" s="5" t="inlineStr">
        <is>
          <t>買掛金 支払サイト（日）─ 月末締め翌月末払い</t>
        </is>
      </c>
      <c r="B46" s="6" t="n">
        <v>30</v>
      </c>
      <c r="C46" s="6" t="n">
        <v>30</v>
      </c>
      <c r="D46" s="6" t="n">
        <v>30</v>
      </c>
    </row>
    <row r="47">
      <c r="A47" s="5" t="inlineStr">
        <is>
          <t>期末売掛金残高（万円）=売上/12</t>
        </is>
      </c>
      <c r="B47" s="6">
        <f>ROUND(B15/12,0)</f>
        <v/>
      </c>
      <c r="C47" s="6">
        <f>ROUND(C15/12,0)</f>
        <v/>
      </c>
      <c r="D47" s="6">
        <f>ROUND(D15/12,0)</f>
        <v/>
      </c>
    </row>
    <row r="48">
      <c r="A48" s="5" t="inlineStr">
        <is>
          <t>期末買掛金残高（万円）=COGS/12</t>
        </is>
      </c>
      <c r="B48" s="6">
        <f>ROUND(B25/12,0)</f>
        <v/>
      </c>
      <c r="C48" s="6">
        <f>ROUND(C25/12,0)</f>
        <v/>
      </c>
      <c r="D48" s="6">
        <f>ROUND(D25/12,0)</f>
        <v/>
      </c>
    </row>
    <row r="50" ht="20" customHeight="1">
      <c r="A50" s="3" t="inlineStr">
        <is>
          <t>⑤ 設備投資・ソフトウェア資産・減価償却</t>
        </is>
      </c>
    </row>
    <row r="51">
      <c r="A51" s="4" t="inlineStr">
        <is>
          <t>項目</t>
        </is>
      </c>
      <c r="B51" s="4" t="inlineStr">
        <is>
          <t>Year1</t>
        </is>
      </c>
      <c r="C51" s="4" t="inlineStr">
        <is>
          <t>Year2</t>
        </is>
      </c>
      <c r="D51" s="4" t="inlineStr">
        <is>
          <t>Year3</t>
        </is>
      </c>
    </row>
    <row r="52">
      <c r="A52" s="5" t="inlineStr">
        <is>
          <t>自社システム開発費（資産計上・万円）</t>
        </is>
      </c>
      <c r="B52" s="6" t="n">
        <v>100</v>
      </c>
      <c r="C52" s="6" t="n">
        <v>300</v>
      </c>
      <c r="D52" s="6" t="n">
        <v>800</v>
      </c>
    </row>
    <row r="53">
      <c r="A53" s="5" t="inlineStr">
        <is>
          <t>償却期間（年）</t>
        </is>
      </c>
      <c r="B53" s="6" t="n">
        <v>3</v>
      </c>
      <c r="C53" s="6" t="n">
        <v>3</v>
      </c>
      <c r="D53" s="6" t="n">
        <v>3</v>
      </c>
    </row>
    <row r="54">
      <c r="A54" s="5" t="inlineStr">
        <is>
          <t>当期償却費（万円）</t>
        </is>
      </c>
      <c r="B54" s="6">
        <f>ROUND(B52/B53,0)</f>
        <v/>
      </c>
      <c r="C54" s="6">
        <f>ROUND(B52/B53+C52/C53,0)</f>
        <v/>
      </c>
      <c r="D54" s="6">
        <f>ROUND(B52/B53+C52/C53+D52/D53,0)</f>
        <v/>
      </c>
    </row>
    <row r="55">
      <c r="A55" s="5" t="inlineStr">
        <is>
          <t>ソフトウェア資産残高（万円・期末）</t>
        </is>
      </c>
      <c r="B55" s="6">
        <f>B52-B54</f>
        <v/>
      </c>
      <c r="C55" s="6">
        <f>B52+C52-C54-B54</f>
        <v/>
      </c>
      <c r="D55" s="6">
        <f>B52+C52+D52-D54-C54-B54</f>
        <v/>
      </c>
    </row>
    <row r="57" ht="20" customHeight="1">
      <c r="A57" s="3" t="inlineStr">
        <is>
          <t>⑥ 資金調達前提（エクイティ・デット）</t>
        </is>
      </c>
    </row>
    <row r="58">
      <c r="A58" s="4" t="inlineStr">
        <is>
          <t>項目</t>
        </is>
      </c>
      <c r="B58" s="4" t="inlineStr">
        <is>
          <t>Year1</t>
        </is>
      </c>
      <c r="C58" s="4" t="inlineStr">
        <is>
          <t>Year2</t>
        </is>
      </c>
      <c r="D58" s="4" t="inlineStr">
        <is>
          <t>Year3</t>
        </is>
      </c>
    </row>
    <row r="59">
      <c r="A59" s="5" t="inlineStr">
        <is>
          <t>期首資本金（払込済・万円）</t>
        </is>
      </c>
      <c r="B59" s="6" t="n">
        <v>500</v>
      </c>
      <c r="C59" s="6" t="n">
        <v>0</v>
      </c>
      <c r="D59" s="6" t="n">
        <v>0</v>
      </c>
    </row>
    <row r="60">
      <c r="A60" s="5" t="inlineStr">
        <is>
          <t>シード調達（エクイティ・万円）</t>
        </is>
      </c>
      <c r="B60" s="6" t="n">
        <v>0</v>
      </c>
      <c r="C60" s="6" t="n">
        <v>3000</v>
      </c>
      <c r="D60" s="6" t="n">
        <v>0</v>
      </c>
    </row>
    <row r="61">
      <c r="A61" s="5" t="inlineStr">
        <is>
          <t>シリーズA調達（万円）</t>
        </is>
      </c>
      <c r="B61" s="6" t="n">
        <v>0</v>
      </c>
      <c r="C61" s="6" t="n">
        <v>0</v>
      </c>
      <c r="D61" s="6" t="n">
        <v>10000</v>
      </c>
    </row>
    <row r="62">
      <c r="A62" s="5" t="inlineStr">
        <is>
          <t>銀行借入（万円）</t>
        </is>
      </c>
      <c r="B62" s="6" t="n">
        <v>500</v>
      </c>
      <c r="C62" s="6" t="n">
        <v>0</v>
      </c>
      <c r="D62" s="6" t="n">
        <v>0</v>
      </c>
    </row>
    <row r="63">
      <c r="A63" s="5" t="inlineStr">
        <is>
          <t>借入金利（年率）</t>
        </is>
      </c>
      <c r="B63" s="11" t="n">
        <v>0.02</v>
      </c>
      <c r="C63" s="11" t="n">
        <v>0.02</v>
      </c>
      <c r="D63" s="11" t="n">
        <v>0.02</v>
      </c>
    </row>
    <row r="64">
      <c r="A64" s="5" t="inlineStr">
        <is>
          <t>支払利息（万円）</t>
        </is>
      </c>
      <c r="B64" s="6">
        <f>ROUND(B62*B63,0)</f>
        <v/>
      </c>
      <c r="C64" s="6">
        <f>ROUND(B62*C63,0)</f>
        <v/>
      </c>
      <c r="D64" s="6">
        <f>ROUND(B62*D63,0)</f>
        <v/>
      </c>
    </row>
    <row r="65">
      <c r="A65" s="16" t="inlineStr">
        <is>
          <t>税引前利益（万円）</t>
        </is>
      </c>
      <c r="B65" s="18">
        <f>B40-B64</f>
        <v/>
      </c>
      <c r="C65" s="18">
        <f>C40-C64</f>
        <v/>
      </c>
      <c r="D65" s="18">
        <f>D40-D64</f>
        <v/>
      </c>
    </row>
    <row r="66">
      <c r="A66" s="5" t="inlineStr">
        <is>
          <t>法人税等（万円）30%</t>
        </is>
      </c>
      <c r="B66" s="6">
        <f>IF(B65&gt;0,ROUND(B65*0.3,0),0)</f>
        <v/>
      </c>
      <c r="C66" s="6">
        <f>IF(C65&gt;0,ROUND(C65*0.3,0),0)</f>
        <v/>
      </c>
      <c r="D66" s="6">
        <f>IF(D65&gt;0,ROUND(D65*0.3,0),0)</f>
        <v/>
      </c>
    </row>
    <row r="67">
      <c r="A67" s="9" t="inlineStr">
        <is>
          <t>当期純利益（万円）</t>
        </is>
      </c>
      <c r="B67" s="10">
        <f>B65-B66</f>
        <v/>
      </c>
      <c r="C67" s="10">
        <f>C65-C66</f>
        <v/>
      </c>
      <c r="D67" s="10">
        <f>D65-D66</f>
        <v/>
      </c>
    </row>
    <row r="69" ht="20" customHeight="1">
      <c r="A69" s="3" t="inlineStr">
        <is>
          <t>⑦ 解約率（Churn）・成約率（CVR）前提  ─  感度分析シート連動</t>
        </is>
      </c>
    </row>
    <row r="70">
      <c r="A70" s="4" t="inlineStr">
        <is>
          <t>項目</t>
        </is>
      </c>
      <c r="B70" s="4" t="inlineStr">
        <is>
          <t>Year1</t>
        </is>
      </c>
      <c r="C70" s="4" t="inlineStr">
        <is>
          <t>Year2</t>
        </is>
      </c>
      <c r="D70" s="4" t="inlineStr">
        <is>
          <t>Year3</t>
        </is>
      </c>
    </row>
    <row r="71">
      <c r="A71" s="5" t="inlineStr">
        <is>
          <t>月次Churn率（B2B解約率）ベース</t>
        </is>
      </c>
      <c r="B71" s="11" t="n">
        <v>0.02</v>
      </c>
      <c r="C71" s="11" t="n">
        <v>0.02</v>
      </c>
      <c r="D71" s="11" t="n">
        <v>0.015</v>
      </c>
    </row>
    <row r="72">
      <c r="A72" s="5" t="inlineStr">
        <is>
          <t>年間解約予測社数（期初社数×年次換算）</t>
        </is>
      </c>
      <c r="B72" s="6">
        <f>ROUND(B6*B71*12,0)</f>
        <v/>
      </c>
      <c r="C72" s="6">
        <f>ROUND(C6*C71*12,0)</f>
        <v/>
      </c>
      <c r="D72" s="6">
        <f>ROUND(D6*D71*12,0)</f>
        <v/>
      </c>
    </row>
    <row r="73">
      <c r="A73" s="5" t="inlineStr">
        <is>
          <t>グロス新規獲得必要社数（純増＋解約補填）</t>
        </is>
      </c>
      <c r="B73" s="6">
        <f>B6+B72</f>
        <v/>
      </c>
      <c r="C73" s="6">
        <f>C6-B6+C72</f>
        <v/>
      </c>
      <c r="D73" s="6">
        <f>D6-C6+D72</f>
        <v/>
      </c>
    </row>
    <row r="74">
      <c r="A74" s="5" t="inlineStr">
        <is>
          <t>人材紹介 候補者充足率（CVR・ベース）</t>
        </is>
      </c>
      <c r="B74" s="11" t="n">
        <v>0.15</v>
      </c>
      <c r="C74" s="11" t="n">
        <v>0.18</v>
      </c>
      <c r="D74" s="11" t="n">
        <v>0.2</v>
      </c>
    </row>
    <row r="75">
      <c r="A75" s="5" t="inlineStr">
        <is>
          <t>プロジェクト案件 成約率（ベース）</t>
        </is>
      </c>
      <c r="B75" s="11" t="n">
        <v>0.3</v>
      </c>
      <c r="C75" s="11" t="n">
        <v>0.35</v>
      </c>
      <c r="D75" s="11" t="n">
        <v>0.35</v>
      </c>
    </row>
    <row r="76">
      <c r="A76" s="2" t="inlineStr">
        <is>
          <t>※ Churn率・CVRの感度分析（悲観/中央/楽観シナリオ別）は「感度分析」シート参照</t>
        </is>
      </c>
    </row>
  </sheetData>
  <mergeCells count="11">
    <mergeCell ref="A1:D1"/>
    <mergeCell ref="A18:D18"/>
    <mergeCell ref="A69:D69"/>
    <mergeCell ref="A50:D50"/>
    <mergeCell ref="A4:D4"/>
    <mergeCell ref="A29:D29"/>
    <mergeCell ref="A43:D43"/>
    <mergeCell ref="A57:D57"/>
    <mergeCell ref="A16:D16"/>
    <mergeCell ref="A2:D2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UNLID 人員計画（採用計画）v4.2  ─  採用数・人件費がPL・感度分析に自動連動</t>
        </is>
      </c>
    </row>
    <row r="2">
      <c r="A2" s="19" t="inlineStr">
        <is>
          <t>★ この表の人件費合計・採用費合計が「前提条件」シートのSG&amp;A（行31,32）に自動参照される</t>
        </is>
      </c>
    </row>
    <row r="4" ht="20" customHeight="1">
      <c r="A4" s="3" t="inlineStr">
        <is>
          <t>① 役職定義・単価テーブル（入力エリア）</t>
        </is>
      </c>
    </row>
    <row r="5">
      <c r="A5" s="4" t="inlineStr">
        <is>
          <t>役職</t>
        </is>
      </c>
      <c r="B5" s="4" t="inlineStr">
        <is>
          <t>月額給与(万円)</t>
        </is>
      </c>
      <c r="C5" s="4" t="inlineStr">
        <is>
          <t>法定福利費率</t>
        </is>
      </c>
      <c r="D5" s="4" t="inlineStr">
        <is>
          <t>採用費単価(万円)</t>
        </is>
      </c>
      <c r="E5" s="4" t="inlineStr">
        <is>
          <t>備考</t>
        </is>
      </c>
    </row>
    <row r="6">
      <c r="A6" s="16" t="inlineStr">
        <is>
          <t>CEO / 創業者</t>
        </is>
      </c>
      <c r="B6" s="6" t="n">
        <v>30</v>
      </c>
      <c r="C6" s="11" t="n">
        <v>0.15</v>
      </c>
      <c r="D6" s="6" t="n">
        <v>0</v>
      </c>
      <c r="E6" s="20" t="inlineStr">
        <is>
          <t>役員報酬（Y1）、段階的引上げ</t>
        </is>
      </c>
    </row>
    <row r="7">
      <c r="A7" s="16" t="inlineStr">
        <is>
          <t>FDE（フラクショナルFDE）</t>
        </is>
      </c>
      <c r="B7" s="6" t="n">
        <v>45</v>
      </c>
      <c r="C7" s="11" t="n">
        <v>0.15</v>
      </c>
      <c r="D7" s="6" t="n">
        <v>140</v>
      </c>
      <c r="E7" s="20" t="inlineStr">
        <is>
          <t>正社員化。副業→内部登用でコスト圧縮</t>
        </is>
      </c>
    </row>
    <row r="8">
      <c r="A8" s="16" t="inlineStr">
        <is>
          <t>CSM（カスタマーサクセス）</t>
        </is>
      </c>
      <c r="B8" s="6" t="n">
        <v>40</v>
      </c>
      <c r="C8" s="11" t="n">
        <v>0.15</v>
      </c>
      <c r="D8" s="6" t="n">
        <v>100</v>
      </c>
      <c r="E8" s="20" t="inlineStr">
        <is>
          <t>1名が25〜30社を担当</t>
        </is>
      </c>
    </row>
    <row r="9">
      <c r="A9" s="16" t="inlineStr">
        <is>
          <t>PM（プロジェクトMgr）</t>
        </is>
      </c>
      <c r="B9" s="6" t="n">
        <v>50</v>
      </c>
      <c r="C9" s="11" t="n">
        <v>0.15</v>
      </c>
      <c r="D9" s="6" t="n">
        <v>150</v>
      </c>
      <c r="E9" s="20" t="inlineStr">
        <is>
          <t>プロジェクト5件/人目安</t>
        </is>
      </c>
    </row>
    <row r="10">
      <c r="A10" s="16" t="inlineStr">
        <is>
          <t>AIエンジニア</t>
        </is>
      </c>
      <c r="B10" s="6" t="n">
        <v>60</v>
      </c>
      <c r="C10" s="11" t="n">
        <v>0.15</v>
      </c>
      <c r="D10" s="6" t="n">
        <v>200</v>
      </c>
      <c r="E10" s="20" t="inlineStr">
        <is>
          <t>自社ツール・大型PJ担当</t>
        </is>
      </c>
    </row>
    <row r="11">
      <c r="A11" s="16" t="inlineStr">
        <is>
          <t>Admin / BizDev</t>
        </is>
      </c>
      <c r="B11" s="6" t="n">
        <v>35</v>
      </c>
      <c r="C11" s="11" t="n">
        <v>0.15</v>
      </c>
      <c r="D11" s="6" t="n">
        <v>80</v>
      </c>
      <c r="E11" s="20" t="inlineStr">
        <is>
          <t>バックオフィス・採用支援</t>
        </is>
      </c>
    </row>
    <row r="13" ht="20" customHeight="1">
      <c r="A13" s="3" t="inlineStr">
        <is>
          <t>② 採用スケジュール（期末時点ヘッドカウント）</t>
        </is>
      </c>
    </row>
    <row r="14">
      <c r="A14" s="4" t="inlineStr">
        <is>
          <t>役職</t>
        </is>
      </c>
      <c r="B14" s="4" t="inlineStr">
        <is>
          <t>Y1期首</t>
        </is>
      </c>
      <c r="C14" s="4" t="inlineStr">
        <is>
          <t>Y1採用</t>
        </is>
      </c>
      <c r="D14" s="4" t="inlineStr">
        <is>
          <t>Y1期末</t>
        </is>
      </c>
      <c r="E14" s="4" t="inlineStr">
        <is>
          <t>Y2採用</t>
        </is>
      </c>
      <c r="F14" s="4" t="inlineStr">
        <is>
          <t>Y2期末</t>
        </is>
      </c>
      <c r="G14" s="4" t="inlineStr">
        <is>
          <t>Y3採用</t>
        </is>
      </c>
      <c r="H14" s="4" t="inlineStr">
        <is>
          <t>Y3期末</t>
        </is>
      </c>
    </row>
    <row r="15">
      <c r="A15" s="16" t="inlineStr">
        <is>
          <t>CEO / 創業者</t>
        </is>
      </c>
      <c r="B15" s="6" t="n">
        <v>1</v>
      </c>
      <c r="C15" s="6" t="n">
        <v>0</v>
      </c>
      <c r="D15" s="8" t="n">
        <v>1</v>
      </c>
      <c r="E15" s="6" t="n">
        <v>0</v>
      </c>
      <c r="F15" s="8" t="n">
        <v>1</v>
      </c>
      <c r="G15" s="6" t="n">
        <v>0</v>
      </c>
      <c r="H15" s="8" t="n">
        <v>1</v>
      </c>
    </row>
    <row r="16">
      <c r="A16" s="16" t="inlineStr">
        <is>
          <t>FDE（フラクショナルFDE）</t>
        </is>
      </c>
      <c r="B16" s="6" t="n">
        <v>0</v>
      </c>
      <c r="C16" s="6" t="n">
        <v>2</v>
      </c>
      <c r="D16" s="8" t="n">
        <v>2</v>
      </c>
      <c r="E16" s="6" t="n">
        <v>8</v>
      </c>
      <c r="F16" s="8" t="n">
        <v>10</v>
      </c>
      <c r="G16" s="6" t="n">
        <v>22</v>
      </c>
      <c r="H16" s="8" t="n">
        <v>32</v>
      </c>
    </row>
    <row r="17">
      <c r="A17" s="16" t="inlineStr">
        <is>
          <t>CSM（カスタマーサクセス）</t>
        </is>
      </c>
      <c r="B17" s="6" t="n">
        <v>0</v>
      </c>
      <c r="C17" s="6" t="n">
        <v>0</v>
      </c>
      <c r="D17" s="8" t="n">
        <v>0</v>
      </c>
      <c r="E17" s="6" t="n">
        <v>3</v>
      </c>
      <c r="F17" s="8" t="n">
        <v>3</v>
      </c>
      <c r="G17" s="6" t="n">
        <v>5</v>
      </c>
      <c r="H17" s="8" t="n">
        <v>8</v>
      </c>
    </row>
    <row r="18">
      <c r="A18" s="16" t="inlineStr">
        <is>
          <t>PM（プロジェクトMgr）</t>
        </is>
      </c>
      <c r="B18" s="6" t="n">
        <v>0</v>
      </c>
      <c r="C18" s="6" t="n">
        <v>0</v>
      </c>
      <c r="D18" s="8" t="n">
        <v>0</v>
      </c>
      <c r="E18" s="6" t="n">
        <v>2</v>
      </c>
      <c r="F18" s="8" t="n">
        <v>2</v>
      </c>
      <c r="G18" s="6" t="n">
        <v>4</v>
      </c>
      <c r="H18" s="8" t="n">
        <v>6</v>
      </c>
    </row>
    <row r="19">
      <c r="A19" s="16" t="inlineStr">
        <is>
          <t>AIエンジニア</t>
        </is>
      </c>
      <c r="B19" s="6" t="n">
        <v>0</v>
      </c>
      <c r="C19" s="6" t="n">
        <v>1</v>
      </c>
      <c r="D19" s="8" t="n">
        <v>1</v>
      </c>
      <c r="E19" s="6" t="n">
        <v>3</v>
      </c>
      <c r="F19" s="8" t="n">
        <v>4</v>
      </c>
      <c r="G19" s="6" t="n">
        <v>5</v>
      </c>
      <c r="H19" s="8" t="n">
        <v>9</v>
      </c>
    </row>
    <row r="20">
      <c r="A20" s="16" t="inlineStr">
        <is>
          <t>Admin / BizDev</t>
        </is>
      </c>
      <c r="B20" s="6" t="n">
        <v>0</v>
      </c>
      <c r="C20" s="6" t="n">
        <v>0</v>
      </c>
      <c r="D20" s="8" t="n">
        <v>0</v>
      </c>
      <c r="E20" s="6" t="n">
        <v>1</v>
      </c>
      <c r="F20" s="8" t="n">
        <v>1</v>
      </c>
      <c r="G20" s="6" t="n">
        <v>2</v>
      </c>
      <c r="H20" s="8" t="n">
        <v>3</v>
      </c>
    </row>
    <row r="21">
      <c r="A21" s="21" t="inlineStr">
        <is>
          <t>合計（人）</t>
        </is>
      </c>
      <c r="B21" s="10">
        <f>SUM(B15:B20)</f>
        <v/>
      </c>
      <c r="C21" s="10">
        <f>SUM(C15:C20)</f>
        <v/>
      </c>
      <c r="D21" s="10">
        <f>SUM(D15:D20)</f>
        <v/>
      </c>
      <c r="E21" s="10">
        <f>SUM(E15:E20)</f>
        <v/>
      </c>
      <c r="F21" s="10">
        <f>SUM(F15:F20)</f>
        <v/>
      </c>
      <c r="G21" s="10">
        <f>SUM(G15:G20)</f>
        <v/>
      </c>
      <c r="H21" s="10">
        <f>SUM(H15:H20)</f>
        <v/>
      </c>
    </row>
    <row r="24" ht="20" customHeight="1">
      <c r="A24" s="3" t="inlineStr">
        <is>
          <t>③ 年次人件費・採用費サマリー（→前提条件シートに自動連動）</t>
        </is>
      </c>
    </row>
    <row r="25">
      <c r="A25" s="4" t="inlineStr">
        <is>
          <t>役職</t>
        </is>
      </c>
      <c r="B25" s="4" t="inlineStr">
        <is>
          <t>月額給与(万)</t>
        </is>
      </c>
      <c r="C25" s="4" t="inlineStr">
        <is>
          <t>法定福利率</t>
        </is>
      </c>
      <c r="D25" s="4" t="inlineStr">
        <is>
          <t>Y1人件費</t>
        </is>
      </c>
      <c r="E25" s="4" t="inlineStr">
        <is>
          <t>Y2人件費</t>
        </is>
      </c>
      <c r="F25" s="4" t="inlineStr">
        <is>
          <t>Y3人件費</t>
        </is>
      </c>
    </row>
    <row r="26">
      <c r="A26" s="5" t="inlineStr">
        <is>
          <t>CEO / 創業者</t>
        </is>
      </c>
      <c r="B26" s="6" t="n">
        <v>30</v>
      </c>
      <c r="C26" s="11" t="n">
        <v>0.15</v>
      </c>
      <c r="D26" s="6" t="n">
        <v>414</v>
      </c>
      <c r="E26" s="6" t="n">
        <v>414</v>
      </c>
      <c r="F26" s="6" t="n">
        <v>414</v>
      </c>
    </row>
    <row r="27">
      <c r="A27" s="5" t="inlineStr">
        <is>
          <t>FDE（フラクショナルFDE）</t>
        </is>
      </c>
      <c r="B27" s="6" t="n">
        <v>45</v>
      </c>
      <c r="C27" s="11" t="n">
        <v>0.15</v>
      </c>
      <c r="D27" s="6" t="n">
        <v>1242</v>
      </c>
      <c r="E27" s="6" t="n">
        <v>6210</v>
      </c>
      <c r="F27" s="6" t="n">
        <v>19872</v>
      </c>
    </row>
    <row r="28">
      <c r="A28" s="5" t="inlineStr">
        <is>
          <t>CSM（カスタマーサクセス）</t>
        </is>
      </c>
      <c r="B28" s="6" t="n">
        <v>40</v>
      </c>
      <c r="C28" s="11" t="n">
        <v>0.15</v>
      </c>
      <c r="D28" s="6" t="n">
        <v>0</v>
      </c>
      <c r="E28" s="6" t="n">
        <v>1656</v>
      </c>
      <c r="F28" s="6" t="n">
        <v>4416</v>
      </c>
    </row>
    <row r="29">
      <c r="A29" s="5" t="inlineStr">
        <is>
          <t>PM（プロジェクトMgr）</t>
        </is>
      </c>
      <c r="B29" s="6" t="n">
        <v>50</v>
      </c>
      <c r="C29" s="11" t="n">
        <v>0.15</v>
      </c>
      <c r="D29" s="6" t="n">
        <v>0</v>
      </c>
      <c r="E29" s="6" t="n">
        <v>1380</v>
      </c>
      <c r="F29" s="6" t="n">
        <v>4140</v>
      </c>
    </row>
    <row r="30">
      <c r="A30" s="5" t="inlineStr">
        <is>
          <t>AIエンジニア</t>
        </is>
      </c>
      <c r="B30" s="6" t="n">
        <v>60</v>
      </c>
      <c r="C30" s="11" t="n">
        <v>0.15</v>
      </c>
      <c r="D30" s="6" t="n">
        <v>828</v>
      </c>
      <c r="E30" s="6" t="n">
        <v>3312</v>
      </c>
      <c r="F30" s="6" t="n">
        <v>7452</v>
      </c>
    </row>
    <row r="31">
      <c r="A31" s="5" t="inlineStr">
        <is>
          <t>Admin / BizDev</t>
        </is>
      </c>
      <c r="B31" s="6" t="n">
        <v>35</v>
      </c>
      <c r="C31" s="11" t="n">
        <v>0.15</v>
      </c>
      <c r="D31" s="6" t="n">
        <v>0</v>
      </c>
      <c r="E31" s="6" t="n">
        <v>483</v>
      </c>
      <c r="F31" s="6" t="n">
        <v>1449</v>
      </c>
    </row>
    <row r="32">
      <c r="A32" s="21" t="inlineStr">
        <is>
          <t>人件費合計（万円）</t>
        </is>
      </c>
      <c r="B32" s="22" t="n"/>
      <c r="C32" s="22" t="n"/>
      <c r="D32" s="10">
        <f>SUM(D26:D31)</f>
        <v/>
      </c>
      <c r="E32" s="10">
        <f>SUM(E26:E31)</f>
        <v/>
      </c>
      <c r="F32" s="10">
        <f>SUM(F26:F31)</f>
        <v/>
      </c>
    </row>
    <row r="34" ht="20" customHeight="1">
      <c r="A34" s="3" t="inlineStr">
        <is>
          <t>④ 採用費サマリー（採用人数 × 採用費単価）</t>
        </is>
      </c>
    </row>
    <row r="35">
      <c r="A35" s="4" t="inlineStr">
        <is>
          <t>役職</t>
        </is>
      </c>
      <c r="B35" s="4" t="inlineStr">
        <is>
          <t>採用費単価(万)</t>
        </is>
      </c>
      <c r="C35" s="4" t="inlineStr"/>
      <c r="D35" s="4" t="inlineStr">
        <is>
          <t>Y1採用費</t>
        </is>
      </c>
      <c r="E35" s="4" t="inlineStr">
        <is>
          <t>Y2採用費</t>
        </is>
      </c>
      <c r="F35" s="4" t="inlineStr">
        <is>
          <t>Y3採用費</t>
        </is>
      </c>
    </row>
    <row r="36">
      <c r="A36" s="5" t="inlineStr">
        <is>
          <t>CEO / 創業者</t>
        </is>
      </c>
      <c r="B36" s="6" t="n">
        <v>0</v>
      </c>
      <c r="C36" s="22" t="n"/>
      <c r="D36" s="6" t="n">
        <v>0</v>
      </c>
      <c r="E36" s="6" t="n">
        <v>0</v>
      </c>
      <c r="F36" s="6" t="n">
        <v>0</v>
      </c>
    </row>
    <row r="37">
      <c r="A37" s="5" t="inlineStr">
        <is>
          <t>FDE（フラクショナルFDE）</t>
        </is>
      </c>
      <c r="B37" s="6" t="n">
        <v>140</v>
      </c>
      <c r="C37" s="22" t="n"/>
      <c r="D37" s="6" t="n">
        <v>280</v>
      </c>
      <c r="E37" s="6" t="n">
        <v>1120</v>
      </c>
      <c r="F37" s="6" t="n">
        <v>3080</v>
      </c>
    </row>
    <row r="38">
      <c r="A38" s="5" t="inlineStr">
        <is>
          <t>CSM（カスタマーサクセス）</t>
        </is>
      </c>
      <c r="B38" s="6" t="n">
        <v>100</v>
      </c>
      <c r="C38" s="22" t="n"/>
      <c r="D38" s="6" t="n">
        <v>0</v>
      </c>
      <c r="E38" s="6" t="n">
        <v>300</v>
      </c>
      <c r="F38" s="6" t="n">
        <v>500</v>
      </c>
    </row>
    <row r="39">
      <c r="A39" s="5" t="inlineStr">
        <is>
          <t>PM（プロジェクトMgr）</t>
        </is>
      </c>
      <c r="B39" s="6" t="n">
        <v>150</v>
      </c>
      <c r="C39" s="22" t="n"/>
      <c r="D39" s="6" t="n">
        <v>0</v>
      </c>
      <c r="E39" s="6" t="n">
        <v>300</v>
      </c>
      <c r="F39" s="6" t="n">
        <v>600</v>
      </c>
    </row>
    <row r="40">
      <c r="A40" s="5" t="inlineStr">
        <is>
          <t>AIエンジニア</t>
        </is>
      </c>
      <c r="B40" s="6" t="n">
        <v>200</v>
      </c>
      <c r="C40" s="22" t="n"/>
      <c r="D40" s="6" t="n">
        <v>200</v>
      </c>
      <c r="E40" s="6" t="n">
        <v>600</v>
      </c>
      <c r="F40" s="6" t="n">
        <v>1000</v>
      </c>
    </row>
    <row r="41">
      <c r="A41" s="5" t="inlineStr">
        <is>
          <t>Admin / BizDev</t>
        </is>
      </c>
      <c r="B41" s="6" t="n">
        <v>80</v>
      </c>
      <c r="C41" s="22" t="n"/>
      <c r="D41" s="6" t="n">
        <v>0</v>
      </c>
      <c r="E41" s="6" t="n">
        <v>80</v>
      </c>
      <c r="F41" s="6" t="n">
        <v>160</v>
      </c>
    </row>
    <row r="42">
      <c r="A42" s="21" t="inlineStr">
        <is>
          <t>採用費合計（万円）</t>
        </is>
      </c>
      <c r="B42" s="22" t="n"/>
      <c r="C42" s="22" t="n"/>
      <c r="D42" s="23">
        <f>SUM(D36:D41)</f>
        <v/>
      </c>
      <c r="E42" s="23">
        <f>SUM(E36:E41)</f>
        <v/>
      </c>
      <c r="F42" s="23">
        <f>SUM(F36:F41)</f>
        <v/>
      </c>
    </row>
    <row r="43">
      <c r="A43" s="2" t="inlineStr">
        <is>
          <t>★ 前提条件シート参照セル: 人件費=D32〜F32 / 採用費=D42〜F42</t>
        </is>
      </c>
    </row>
  </sheetData>
  <mergeCells count="7">
    <mergeCell ref="A4:H4"/>
    <mergeCell ref="A43:H43"/>
    <mergeCell ref="A24:H24"/>
    <mergeCell ref="A2:H2"/>
    <mergeCell ref="A13:H13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UNLID 損益計算書（P/L）v4.2  ─  単位：万円  |  前提条件シート連動</t>
        </is>
      </c>
    </row>
    <row r="2">
      <c r="A2" s="2" t="inlineStr">
        <is>
          <t>★ 人件費・採用費は人員計画シートから自動参照。全数値は前提条件シートのドライバーで算出。</t>
        </is>
      </c>
    </row>
    <row r="4">
      <c r="A4" s="4" t="inlineStr">
        <is>
          <t>項目</t>
        </is>
      </c>
      <c r="B4" s="4" t="inlineStr">
        <is>
          <t>Year1</t>
        </is>
      </c>
      <c r="C4" s="4" t="inlineStr">
        <is>
          <t>Year2</t>
        </is>
      </c>
      <c r="D4" s="4" t="inlineStr">
        <is>
          <t>Year3</t>
        </is>
      </c>
      <c r="E4" s="4" t="inlineStr">
        <is>
          <t>3年累計</t>
        </is>
      </c>
    </row>
    <row r="5">
      <c r="A5" s="21" t="inlineStr">
        <is>
          <t>▌売上高</t>
        </is>
      </c>
      <c r="B5" s="43" t="n"/>
      <c r="C5" s="43" t="n"/>
      <c r="D5" s="43" t="n"/>
      <c r="E5" s="44" t="n"/>
    </row>
    <row r="6">
      <c r="A6" s="5" t="inlineStr">
        <is>
          <t xml:space="preserve">  B2B受託収益</t>
        </is>
      </c>
      <c r="B6" s="6">
        <f>前提条件!B8</f>
        <v/>
      </c>
      <c r="C6" s="6">
        <f>前提条件!C8</f>
        <v/>
      </c>
      <c r="D6" s="6">
        <f>前提条件!D8</f>
        <v/>
      </c>
      <c r="E6" s="6">
        <f>B6+C6+D6</f>
        <v/>
      </c>
    </row>
    <row r="7">
      <c r="A7" s="5" t="inlineStr">
        <is>
          <t xml:space="preserve">  人材紹介フィー</t>
        </is>
      </c>
      <c r="B7" s="6">
        <f>前提条件!B11</f>
        <v/>
      </c>
      <c r="C7" s="6">
        <f>前提条件!C11</f>
        <v/>
      </c>
      <c r="D7" s="6">
        <f>前提条件!D11</f>
        <v/>
      </c>
      <c r="E7" s="6">
        <f>B7+C7+D7</f>
        <v/>
      </c>
    </row>
    <row r="8">
      <c r="A8" s="5" t="inlineStr">
        <is>
          <t xml:space="preserve">  プロジェクト収益</t>
        </is>
      </c>
      <c r="B8" s="6">
        <f>前提条件!B14</f>
        <v/>
      </c>
      <c r="C8" s="6">
        <f>前提条件!C14</f>
        <v/>
      </c>
      <c r="D8" s="6">
        <f>前提条件!D14</f>
        <v/>
      </c>
      <c r="E8" s="6">
        <f>B8+C8+D8</f>
        <v/>
      </c>
    </row>
    <row r="9">
      <c r="A9" s="9" t="inlineStr">
        <is>
          <t>売上合計</t>
        </is>
      </c>
      <c r="B9" s="10">
        <f>前提条件!B15</f>
        <v/>
      </c>
      <c r="C9" s="10">
        <f>前提条件!C15</f>
        <v/>
      </c>
      <c r="D9" s="10">
        <f>前提条件!D15</f>
        <v/>
      </c>
      <c r="E9" s="10">
        <f>B9+C9+D9</f>
        <v/>
      </c>
    </row>
    <row r="10">
      <c r="A10" s="21" t="inlineStr">
        <is>
          <t>▌売上原価（COGS）</t>
        </is>
      </c>
      <c r="B10" s="43" t="n"/>
      <c r="C10" s="43" t="n"/>
      <c r="D10" s="43" t="n"/>
      <c r="E10" s="44" t="n"/>
    </row>
    <row r="11">
      <c r="A11" s="5" t="inlineStr">
        <is>
          <t xml:space="preserve">  AIサーバー・API費</t>
        </is>
      </c>
      <c r="B11" s="6">
        <f>前提条件!B20+前提条件!B21</f>
        <v/>
      </c>
      <c r="C11" s="6">
        <f>前提条件!C20+前提条件!C21</f>
        <v/>
      </c>
      <c r="D11" s="6">
        <f>前提条件!D20+前提条件!D21</f>
        <v/>
      </c>
      <c r="E11" s="6">
        <f>B11+C11+D11</f>
        <v/>
      </c>
    </row>
    <row r="12">
      <c r="A12" s="5" t="inlineStr">
        <is>
          <t xml:space="preserve">  副業ワーカー報酬</t>
        </is>
      </c>
      <c r="B12" s="6">
        <f>前提条件!B23</f>
        <v/>
      </c>
      <c r="C12" s="6">
        <f>前提条件!C23</f>
        <v/>
      </c>
      <c r="D12" s="6">
        <f>前提条件!D23</f>
        <v/>
      </c>
      <c r="E12" s="6">
        <f>B12+C12+D12</f>
        <v/>
      </c>
    </row>
    <row r="13">
      <c r="A13" s="5" t="inlineStr">
        <is>
          <t xml:space="preserve">  外注エンジニア費</t>
        </is>
      </c>
      <c r="B13" s="6">
        <f>前提条件!B24</f>
        <v/>
      </c>
      <c r="C13" s="6">
        <f>前提条件!C24</f>
        <v/>
      </c>
      <c r="D13" s="6">
        <f>前提条件!D24</f>
        <v/>
      </c>
      <c r="E13" s="6">
        <f>B13+C13+D13</f>
        <v/>
      </c>
    </row>
    <row r="14">
      <c r="A14" s="12" t="inlineStr">
        <is>
          <t>売上原価合計</t>
        </is>
      </c>
      <c r="B14" s="13">
        <f>前提条件!B25</f>
        <v/>
      </c>
      <c r="C14" s="13">
        <f>前提条件!C25</f>
        <v/>
      </c>
      <c r="D14" s="13">
        <f>前提条件!D25</f>
        <v/>
      </c>
      <c r="E14" s="13">
        <f>B14+C14+D14</f>
        <v/>
      </c>
    </row>
    <row r="15">
      <c r="A15" s="7" t="inlineStr">
        <is>
          <t>売上総利益</t>
        </is>
      </c>
      <c r="B15" s="8">
        <f>前提条件!B26</f>
        <v/>
      </c>
      <c r="C15" s="8">
        <f>前提条件!C26</f>
        <v/>
      </c>
      <c r="D15" s="8">
        <f>前提条件!D26</f>
        <v/>
      </c>
      <c r="E15" s="8">
        <f>B15+C15+D15</f>
        <v/>
      </c>
    </row>
    <row r="16">
      <c r="A16" s="5" t="inlineStr">
        <is>
          <t xml:space="preserve">  粗利率</t>
        </is>
      </c>
      <c r="B16" s="11">
        <f>前提条件!B27</f>
        <v/>
      </c>
      <c r="C16" s="11">
        <f>前提条件!C27</f>
        <v/>
      </c>
      <c r="D16" s="11">
        <f>前提条件!D27</f>
        <v/>
      </c>
      <c r="E16" s="22" t="n"/>
    </row>
    <row r="17">
      <c r="A17" s="21" t="inlineStr">
        <is>
          <t>▌SG&amp;A（販売費及び一般管理費）</t>
        </is>
      </c>
      <c r="B17" s="43" t="n"/>
      <c r="C17" s="43" t="n"/>
      <c r="D17" s="43" t="n"/>
      <c r="E17" s="44" t="n"/>
    </row>
    <row r="18">
      <c r="A18" s="5" t="inlineStr">
        <is>
          <t xml:space="preserve">  人件費合計</t>
        </is>
      </c>
      <c r="B18" s="6">
        <f>人員計画!D32</f>
        <v/>
      </c>
      <c r="C18" s="6">
        <f>人員計画!E32</f>
        <v/>
      </c>
      <c r="D18" s="6">
        <f>人員計画!F32</f>
        <v/>
      </c>
      <c r="E18" s="6">
        <f>B18+C18+D18</f>
        <v/>
      </c>
    </row>
    <row r="19">
      <c r="A19" s="5" t="inlineStr">
        <is>
          <t xml:space="preserve">  採用費合計</t>
        </is>
      </c>
      <c r="B19" s="6">
        <f>人員計画!D42</f>
        <v/>
      </c>
      <c r="C19" s="6">
        <f>人員計画!E42</f>
        <v/>
      </c>
      <c r="D19" s="6">
        <f>人員計画!F42</f>
        <v/>
      </c>
      <c r="E19" s="6">
        <f>B19+C19+D19</f>
        <v/>
      </c>
    </row>
    <row r="20">
      <c r="A20" s="5" t="inlineStr">
        <is>
          <t xml:space="preserve">  B2Bマーケ・CAC費</t>
        </is>
      </c>
      <c r="B20" s="6">
        <f>前提条件!B33</f>
        <v/>
      </c>
      <c r="C20" s="6">
        <f>前提条件!C33</f>
        <v/>
      </c>
      <c r="D20" s="6">
        <f>前提条件!D33</f>
        <v/>
      </c>
      <c r="E20" s="6">
        <f>B20+C20+D20</f>
        <v/>
      </c>
    </row>
    <row r="21">
      <c r="A21" s="5" t="inlineStr">
        <is>
          <t xml:space="preserve">  人材紹介広告費</t>
        </is>
      </c>
      <c r="B21" s="6">
        <f>前提条件!B34</f>
        <v/>
      </c>
      <c r="C21" s="6">
        <f>前提条件!C34</f>
        <v/>
      </c>
      <c r="D21" s="6">
        <f>前提条件!D34</f>
        <v/>
      </c>
      <c r="E21" s="6">
        <f>B21+C21+D21</f>
        <v/>
      </c>
    </row>
    <row r="22">
      <c r="A22" s="5" t="inlineStr">
        <is>
          <t xml:space="preserve">  地代家賃・オフィス</t>
        </is>
      </c>
      <c r="B22" s="6">
        <f>前提条件!B35</f>
        <v/>
      </c>
      <c r="C22" s="6">
        <f>前提条件!C35</f>
        <v/>
      </c>
      <c r="D22" s="6">
        <f>前提条件!D35</f>
        <v/>
      </c>
      <c r="E22" s="6">
        <f>B22+C22+D22</f>
        <v/>
      </c>
    </row>
    <row r="23">
      <c r="A23" s="5" t="inlineStr">
        <is>
          <t xml:space="preserve">  SaaS・システム費</t>
        </is>
      </c>
      <c r="B23" s="6">
        <f>前提条件!B36</f>
        <v/>
      </c>
      <c r="C23" s="6">
        <f>前提条件!C36</f>
        <v/>
      </c>
      <c r="D23" s="6">
        <f>前提条件!D36</f>
        <v/>
      </c>
      <c r="E23" s="6">
        <f>B23+C23+D23</f>
        <v/>
      </c>
    </row>
    <row r="24">
      <c r="A24" s="5" t="inlineStr">
        <is>
          <t xml:space="preserve">  法務・許認可費</t>
        </is>
      </c>
      <c r="B24" s="6">
        <f>前提条件!B37</f>
        <v/>
      </c>
      <c r="C24" s="6">
        <f>前提条件!C37</f>
        <v/>
      </c>
      <c r="D24" s="6">
        <f>前提条件!D37</f>
        <v/>
      </c>
      <c r="E24" s="6">
        <f>B24+C24+D24</f>
        <v/>
      </c>
    </row>
    <row r="25">
      <c r="A25" s="5" t="inlineStr">
        <is>
          <t xml:space="preserve">  その他固定費</t>
        </is>
      </c>
      <c r="B25" s="6">
        <f>前提条件!B38</f>
        <v/>
      </c>
      <c r="C25" s="6">
        <f>前提条件!C38</f>
        <v/>
      </c>
      <c r="D25" s="6">
        <f>前提条件!D38</f>
        <v/>
      </c>
      <c r="E25" s="6">
        <f>B25+C25+D25</f>
        <v/>
      </c>
    </row>
    <row r="26">
      <c r="A26" s="12" t="inlineStr">
        <is>
          <t>SG&amp;A合計</t>
        </is>
      </c>
      <c r="B26" s="13">
        <f>前提条件!B39</f>
        <v/>
      </c>
      <c r="C26" s="13">
        <f>前提条件!C39</f>
        <v/>
      </c>
      <c r="D26" s="13">
        <f>前提条件!D39</f>
        <v/>
      </c>
      <c r="E26" s="13">
        <f>B26+C26+D26</f>
        <v/>
      </c>
    </row>
    <row r="27">
      <c r="A27" s="9" t="inlineStr">
        <is>
          <t>営業利益</t>
        </is>
      </c>
      <c r="B27" s="10">
        <f>前提条件!B40</f>
        <v/>
      </c>
      <c r="C27" s="10">
        <f>前提条件!C40</f>
        <v/>
      </c>
      <c r="D27" s="10">
        <f>前提条件!D40</f>
        <v/>
      </c>
      <c r="E27" s="10">
        <f>B27+C27+D27</f>
        <v/>
      </c>
    </row>
    <row r="28">
      <c r="A28" s="5" t="inlineStr">
        <is>
          <t xml:space="preserve">  営業利益率</t>
        </is>
      </c>
      <c r="B28" s="11">
        <f>前提条件!B41</f>
        <v/>
      </c>
      <c r="C28" s="11">
        <f>前提条件!C41</f>
        <v/>
      </c>
      <c r="D28" s="11">
        <f>前提条件!D41</f>
        <v/>
      </c>
      <c r="E28" s="22" t="n"/>
    </row>
    <row r="29">
      <c r="A29" s="24" t="inlineStr">
        <is>
          <t xml:space="preserve">  支払利息</t>
        </is>
      </c>
      <c r="B29" s="25">
        <f>前提条件!B64</f>
        <v/>
      </c>
      <c r="C29" s="25">
        <f>前提条件!C64</f>
        <v/>
      </c>
      <c r="D29" s="25">
        <f>前提条件!D64</f>
        <v/>
      </c>
      <c r="E29" s="25">
        <f>B29+C29+D29</f>
        <v/>
      </c>
    </row>
    <row r="30">
      <c r="A30" s="9" t="inlineStr">
        <is>
          <t>税引前利益</t>
        </is>
      </c>
      <c r="B30" s="10">
        <f>前提条件!B65</f>
        <v/>
      </c>
      <c r="C30" s="10">
        <f>前提条件!C65</f>
        <v/>
      </c>
      <c r="D30" s="10">
        <f>前提条件!D65</f>
        <v/>
      </c>
      <c r="E30" s="10">
        <f>B30+C30+D30</f>
        <v/>
      </c>
    </row>
    <row r="31">
      <c r="A31" s="5" t="inlineStr">
        <is>
          <t xml:space="preserve">  法人税等（30%）</t>
        </is>
      </c>
      <c r="B31" s="6">
        <f>前提条件!B66</f>
        <v/>
      </c>
      <c r="C31" s="6">
        <f>前提条件!C66</f>
        <v/>
      </c>
      <c r="D31" s="6">
        <f>前提条件!D66</f>
        <v/>
      </c>
      <c r="E31" s="6">
        <f>B31+C31+D31</f>
        <v/>
      </c>
    </row>
    <row r="32">
      <c r="A32" s="7" t="inlineStr">
        <is>
          <t>当期純利益</t>
        </is>
      </c>
      <c r="B32" s="8">
        <f>前提条件!B67</f>
        <v/>
      </c>
      <c r="C32" s="8">
        <f>前提条件!C67</f>
        <v/>
      </c>
      <c r="D32" s="8">
        <f>前提条件!D67</f>
        <v/>
      </c>
      <c r="E32" s="8">
        <f>B32+C32+D32</f>
        <v/>
      </c>
    </row>
    <row r="33">
      <c r="A33" s="21" t="inlineStr">
        <is>
          <t>▌参考指標</t>
        </is>
      </c>
      <c r="B33" s="43" t="n"/>
      <c r="C33" s="43" t="n"/>
      <c r="D33" s="43" t="n"/>
      <c r="E33" s="44" t="n"/>
    </row>
    <row r="34">
      <c r="A34" s="26" t="inlineStr">
        <is>
          <t xml:space="preserve">  減価償却費（参考）</t>
        </is>
      </c>
      <c r="B34" s="27">
        <f>前提条件!B54</f>
        <v/>
      </c>
      <c r="C34" s="27">
        <f>前提条件!C54</f>
        <v/>
      </c>
      <c r="D34" s="27">
        <f>前提条件!D54</f>
        <v/>
      </c>
      <c r="E34" s="27">
        <f>B34+C34+D34</f>
        <v/>
      </c>
    </row>
    <row r="35">
      <c r="A35" s="7" t="inlineStr">
        <is>
          <t xml:space="preserve">  EBITDA（参考）</t>
        </is>
      </c>
      <c r="B35" s="8">
        <f>前提条件!B40+前提条件!B54</f>
        <v/>
      </c>
      <c r="C35" s="8">
        <f>前提条件!C40+前提条件!C54</f>
        <v/>
      </c>
      <c r="D35" s="8">
        <f>前提条件!D40+前提条件!D54</f>
        <v/>
      </c>
      <c r="E35" s="8">
        <f>B35+C35+D35</f>
        <v/>
      </c>
    </row>
  </sheetData>
  <mergeCells count="6">
    <mergeCell ref="A2:E2"/>
    <mergeCell ref="A10:E10"/>
    <mergeCell ref="A33:E33"/>
    <mergeCell ref="A1:E1"/>
    <mergeCell ref="A5:E5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UNLID 貸借対照表（B/S）v4.2  ─  単位：万円  |  期末残高ベース</t>
        </is>
      </c>
    </row>
    <row r="2">
      <c r="A2" s="2" t="inlineStr">
        <is>
          <t>注：現金残高は「営業CF + 投資CF + 財務CF」の累積。貸借差額セル（Row28）で一致確認。</t>
        </is>
      </c>
    </row>
    <row r="4">
      <c r="A4" s="4" t="inlineStr">
        <is>
          <t>項目</t>
        </is>
      </c>
      <c r="B4" s="4" t="inlineStr">
        <is>
          <t>Y0（期首）</t>
        </is>
      </c>
      <c r="C4" s="4" t="inlineStr">
        <is>
          <t>Y1末</t>
        </is>
      </c>
      <c r="D4" s="4" t="inlineStr">
        <is>
          <t>Y2末</t>
        </is>
      </c>
      <c r="E4" s="4" t="inlineStr">
        <is>
          <t>Y3末</t>
        </is>
      </c>
    </row>
    <row r="5">
      <c r="A5" s="21" t="inlineStr">
        <is>
          <t>▌流動資産</t>
        </is>
      </c>
      <c r="B5" s="43" t="n"/>
      <c r="C5" s="43" t="n"/>
      <c r="D5" s="43" t="n"/>
      <c r="E5" s="44" t="n"/>
    </row>
    <row r="6">
      <c r="A6" s="16" t="inlineStr">
        <is>
          <t>現金・預金</t>
        </is>
      </c>
      <c r="B6" s="18">
        <f>前提条件!B59+前提条件!B62</f>
        <v/>
      </c>
      <c r="C6" s="18">
        <f>B6+前提条件!B67+前提条件!B54-前提条件!B52-前提条件!B47+前提条件!B48</f>
        <v/>
      </c>
      <c r="D6" s="18">
        <f>C6+前提条件!C67+前提条件!C54-前提条件!C52-(前提条件!C47-前提条件!B47)+(前提条件!C48-前提条件!B48)+前提条件!C60</f>
        <v/>
      </c>
      <c r="E6" s="18">
        <f>D6+前提条件!D67+前提条件!D54-前提条件!D52-(前提条件!D47-前提条件!C47)+(前提条件!D48-前提条件!C48)+前提条件!D61</f>
        <v/>
      </c>
    </row>
    <row r="7">
      <c r="A7" s="5" t="inlineStr">
        <is>
          <t>売掛金</t>
        </is>
      </c>
      <c r="B7" s="6" t="n">
        <v>0</v>
      </c>
      <c r="C7" s="6">
        <f>前提条件!B47</f>
        <v/>
      </c>
      <c r="D7" s="6">
        <f>前提条件!C47</f>
        <v/>
      </c>
      <c r="E7" s="6">
        <f>前提条件!D47</f>
        <v/>
      </c>
    </row>
    <row r="8">
      <c r="A8" s="12" t="inlineStr">
        <is>
          <t>流動資産合計</t>
        </is>
      </c>
      <c r="B8" s="13">
        <f>B6+B7</f>
        <v/>
      </c>
      <c r="C8" s="13">
        <f>C6+C7</f>
        <v/>
      </c>
      <c r="D8" s="13">
        <f>D6+D7</f>
        <v/>
      </c>
      <c r="E8" s="13">
        <f>E6+E7</f>
        <v/>
      </c>
    </row>
    <row r="9">
      <c r="A9" s="21" t="inlineStr">
        <is>
          <t>▌固定資産</t>
        </is>
      </c>
      <c r="B9" s="43" t="n"/>
      <c r="C9" s="43" t="n"/>
      <c r="D9" s="43" t="n"/>
      <c r="E9" s="44" t="n"/>
    </row>
    <row r="10">
      <c r="A10" s="5" t="inlineStr">
        <is>
          <t>ソフトウェア（純額）</t>
        </is>
      </c>
      <c r="B10" s="6" t="n">
        <v>0</v>
      </c>
      <c r="C10" s="6">
        <f>前提条件!B55</f>
        <v/>
      </c>
      <c r="D10" s="6">
        <f>前提条件!C55</f>
        <v/>
      </c>
      <c r="E10" s="6">
        <f>前提条件!D55</f>
        <v/>
      </c>
    </row>
    <row r="11">
      <c r="A11" s="12" t="inlineStr">
        <is>
          <t>固定資産合計</t>
        </is>
      </c>
      <c r="B11" s="13">
        <f>B10</f>
        <v/>
      </c>
      <c r="C11" s="13">
        <f>C10</f>
        <v/>
      </c>
      <c r="D11" s="13">
        <f>D10</f>
        <v/>
      </c>
      <c r="E11" s="13">
        <f>E10</f>
        <v/>
      </c>
    </row>
    <row r="12">
      <c r="A12" s="9" t="inlineStr">
        <is>
          <t>資産合計</t>
        </is>
      </c>
      <c r="B12" s="10">
        <f>B8+B11</f>
        <v/>
      </c>
      <c r="C12" s="10">
        <f>C8+C11</f>
        <v/>
      </c>
      <c r="D12" s="10">
        <f>D8+D11</f>
        <v/>
      </c>
      <c r="E12" s="10">
        <f>E8+E11</f>
        <v/>
      </c>
    </row>
    <row r="14">
      <c r="A14" s="21" t="inlineStr">
        <is>
          <t>▌流動負債</t>
        </is>
      </c>
      <c r="B14" s="43" t="n"/>
      <c r="C14" s="43" t="n"/>
      <c r="D14" s="43" t="n"/>
      <c r="E14" s="44" t="n"/>
    </row>
    <row r="15">
      <c r="A15" s="5" t="inlineStr">
        <is>
          <t>買掛金</t>
        </is>
      </c>
      <c r="B15" s="6" t="n">
        <v>0</v>
      </c>
      <c r="C15" s="6">
        <f>前提条件!B48</f>
        <v/>
      </c>
      <c r="D15" s="6">
        <f>前提条件!C48</f>
        <v/>
      </c>
      <c r="E15" s="6">
        <f>前提条件!D48</f>
        <v/>
      </c>
    </row>
    <row r="16">
      <c r="A16" s="5" t="inlineStr">
        <is>
          <t>未払費用（人件費1ヶ月相当）</t>
        </is>
      </c>
      <c r="B16" s="6" t="n">
        <v>0</v>
      </c>
      <c r="C16" s="6">
        <f>ROUND(人員計画!D32/12,0)</f>
        <v/>
      </c>
      <c r="D16" s="6">
        <f>ROUND(人員計画!E32/12,0)</f>
        <v/>
      </c>
      <c r="E16" s="6">
        <f>ROUND(人員計画!F32/12,0)</f>
        <v/>
      </c>
    </row>
    <row r="17">
      <c r="A17" s="12" t="inlineStr">
        <is>
          <t>流動負債合計</t>
        </is>
      </c>
      <c r="B17" s="13">
        <f>B15+B16</f>
        <v/>
      </c>
      <c r="C17" s="13">
        <f>C15+C16</f>
        <v/>
      </c>
      <c r="D17" s="13">
        <f>D15+D16</f>
        <v/>
      </c>
      <c r="E17" s="13">
        <f>E15+E16</f>
        <v/>
      </c>
    </row>
    <row r="18">
      <c r="A18" s="21" t="inlineStr">
        <is>
          <t>▌固定負債</t>
        </is>
      </c>
      <c r="B18" s="43" t="n"/>
      <c r="C18" s="43" t="n"/>
      <c r="D18" s="43" t="n"/>
      <c r="E18" s="44" t="n"/>
    </row>
    <row r="19">
      <c r="A19" s="5" t="inlineStr">
        <is>
          <t>借入金（期中返済なし想定）</t>
        </is>
      </c>
      <c r="B19" s="6">
        <f>前提条件!B62</f>
        <v/>
      </c>
      <c r="C19" s="6">
        <f>前提条件!B62</f>
        <v/>
      </c>
      <c r="D19" s="6">
        <f>前提条件!B62</f>
        <v/>
      </c>
      <c r="E19" s="6">
        <f>前提条件!B62</f>
        <v/>
      </c>
    </row>
    <row r="20">
      <c r="A20" s="12" t="inlineStr">
        <is>
          <t>固定負債合計</t>
        </is>
      </c>
      <c r="B20" s="13">
        <f>B19</f>
        <v/>
      </c>
      <c r="C20" s="13">
        <f>C19</f>
        <v/>
      </c>
      <c r="D20" s="13">
        <f>D19</f>
        <v/>
      </c>
      <c r="E20" s="13">
        <f>E19</f>
        <v/>
      </c>
    </row>
    <row r="21">
      <c r="A21" s="9" t="inlineStr">
        <is>
          <t>負債合計</t>
        </is>
      </c>
      <c r="B21" s="10">
        <f>B17+B20</f>
        <v/>
      </c>
      <c r="C21" s="10">
        <f>C17+C20</f>
        <v/>
      </c>
      <c r="D21" s="10">
        <f>D17+D20</f>
        <v/>
      </c>
      <c r="E21" s="10">
        <f>E17+E20</f>
        <v/>
      </c>
    </row>
    <row r="23">
      <c r="A23" s="21" t="inlineStr">
        <is>
          <t>▌純資産</t>
        </is>
      </c>
      <c r="B23" s="43" t="n"/>
      <c r="C23" s="43" t="n"/>
      <c r="D23" s="43" t="n"/>
      <c r="E23" s="44" t="n"/>
    </row>
    <row r="24">
      <c r="A24" s="5" t="inlineStr">
        <is>
          <t>払込資本（資本金＋調達額累計）</t>
        </is>
      </c>
      <c r="B24" s="6">
        <f>前提条件!B59</f>
        <v/>
      </c>
      <c r="C24" s="6">
        <f>前提条件!B59</f>
        <v/>
      </c>
      <c r="D24" s="6">
        <f>前提条件!B59+前提条件!C60</f>
        <v/>
      </c>
      <c r="E24" s="6">
        <f>前提条件!B59+前提条件!C60+前提条件!D61</f>
        <v/>
      </c>
    </row>
    <row r="25">
      <c r="A25" s="5" t="inlineStr">
        <is>
          <t>利益剰余金（累積純利益）</t>
        </is>
      </c>
      <c r="B25" s="6" t="n">
        <v>0</v>
      </c>
      <c r="C25" s="6">
        <f>前提条件!B67</f>
        <v/>
      </c>
      <c r="D25" s="6">
        <f>前提条件!B67+前提条件!C67</f>
        <v/>
      </c>
      <c r="E25" s="6">
        <f>前提条件!B67+前提条件!C67+前提条件!D67</f>
        <v/>
      </c>
    </row>
    <row r="26">
      <c r="A26" s="7" t="inlineStr">
        <is>
          <t>純資産合計</t>
        </is>
      </c>
      <c r="B26" s="8">
        <f>B24+B25</f>
        <v/>
      </c>
      <c r="C26" s="8">
        <f>C24+C25</f>
        <v/>
      </c>
      <c r="D26" s="8">
        <f>D24+D25</f>
        <v/>
      </c>
      <c r="E26" s="8">
        <f>E24+E25</f>
        <v/>
      </c>
    </row>
    <row r="27">
      <c r="A27" s="9" t="inlineStr">
        <is>
          <t>負債・純資産合計（検証）</t>
        </is>
      </c>
      <c r="B27" s="10">
        <f>B21+B26</f>
        <v/>
      </c>
      <c r="C27" s="10">
        <f>C21+C26</f>
        <v/>
      </c>
      <c r="D27" s="10">
        <f>D21+D26</f>
        <v/>
      </c>
      <c r="E27" s="10">
        <f>E21+E26</f>
        <v/>
      </c>
    </row>
    <row r="28">
      <c r="A28" s="16" t="inlineStr">
        <is>
          <t>貸借差額（0 = 正常・要確認）</t>
        </is>
      </c>
      <c r="B28" s="8">
        <f>B12-B27</f>
        <v/>
      </c>
      <c r="C28" s="8">
        <f>C12-C27</f>
        <v/>
      </c>
      <c r="D28" s="8">
        <f>D12-D27</f>
        <v/>
      </c>
      <c r="E28" s="8">
        <f>E12-E27</f>
        <v/>
      </c>
    </row>
  </sheetData>
  <mergeCells count="7">
    <mergeCell ref="A2:E2"/>
    <mergeCell ref="A1:E1"/>
    <mergeCell ref="A23:E23"/>
    <mergeCell ref="A5:E5"/>
    <mergeCell ref="A14:E14"/>
    <mergeCell ref="A18:E18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6" customHeight="1">
      <c r="A1" s="1" t="inlineStr">
        <is>
          <t>UNLID 月次キャッシュフロー v4.2  ─  単位：万円  |  36ヶ月展開</t>
        </is>
      </c>
    </row>
    <row r="2">
      <c r="A2" s="2" t="inlineStr">
        <is>
          <t>★ 月次値 = 年次値÷12（平均配分）。設備投資は各年度初月に一括計上。財務調達は固定月（M13/M25）に計上。</t>
        </is>
      </c>
    </row>
    <row r="3">
      <c r="A3" s="28" t="inlineStr"/>
      <c r="B3" s="29" t="inlineStr">
        <is>
          <t>Year 1  （M1〜M12）</t>
        </is>
      </c>
      <c r="N3" s="30" t="inlineStr">
        <is>
          <t>Year 2  （M13〜M24）</t>
        </is>
      </c>
      <c r="Z3" s="29" t="inlineStr">
        <is>
          <t>Year 3  （M25〜M36）</t>
        </is>
      </c>
    </row>
    <row r="4">
      <c r="A4" s="31" t="inlineStr">
        <is>
          <t>項目 / 月</t>
        </is>
      </c>
      <c r="B4" s="32" t="inlineStr">
        <is>
          <t>M1</t>
        </is>
      </c>
      <c r="C4" s="32" t="inlineStr">
        <is>
          <t>M2</t>
        </is>
      </c>
      <c r="D4" s="32" t="inlineStr">
        <is>
          <t>M3</t>
        </is>
      </c>
      <c r="E4" s="32" t="inlineStr">
        <is>
          <t>M4</t>
        </is>
      </c>
      <c r="F4" s="32" t="inlineStr">
        <is>
          <t>M5</t>
        </is>
      </c>
      <c r="G4" s="32" t="inlineStr">
        <is>
          <t>M6</t>
        </is>
      </c>
      <c r="H4" s="32" t="inlineStr">
        <is>
          <t>M7</t>
        </is>
      </c>
      <c r="I4" s="32" t="inlineStr">
        <is>
          <t>M8</t>
        </is>
      </c>
      <c r="J4" s="32" t="inlineStr">
        <is>
          <t>M9</t>
        </is>
      </c>
      <c r="K4" s="32" t="inlineStr">
        <is>
          <t>M10</t>
        </is>
      </c>
      <c r="L4" s="32" t="inlineStr">
        <is>
          <t>M11</t>
        </is>
      </c>
      <c r="M4" s="32" t="inlineStr">
        <is>
          <t>M12</t>
        </is>
      </c>
      <c r="N4" s="33" t="inlineStr">
        <is>
          <t>M13</t>
        </is>
      </c>
      <c r="O4" s="33" t="inlineStr">
        <is>
          <t>M14</t>
        </is>
      </c>
      <c r="P4" s="33" t="inlineStr">
        <is>
          <t>M15</t>
        </is>
      </c>
      <c r="Q4" s="33" t="inlineStr">
        <is>
          <t>M16</t>
        </is>
      </c>
      <c r="R4" s="33" t="inlineStr">
        <is>
          <t>M17</t>
        </is>
      </c>
      <c r="S4" s="33" t="inlineStr">
        <is>
          <t>M18</t>
        </is>
      </c>
      <c r="T4" s="33" t="inlineStr">
        <is>
          <t>M19</t>
        </is>
      </c>
      <c r="U4" s="33" t="inlineStr">
        <is>
          <t>M20</t>
        </is>
      </c>
      <c r="V4" s="33" t="inlineStr">
        <is>
          <t>M21</t>
        </is>
      </c>
      <c r="W4" s="33" t="inlineStr">
        <is>
          <t>M22</t>
        </is>
      </c>
      <c r="X4" s="33" t="inlineStr">
        <is>
          <t>M23</t>
        </is>
      </c>
      <c r="Y4" s="33" t="inlineStr">
        <is>
          <t>M24</t>
        </is>
      </c>
      <c r="Z4" s="32" t="inlineStr">
        <is>
          <t>M25</t>
        </is>
      </c>
      <c r="AA4" s="32" t="inlineStr">
        <is>
          <t>M26</t>
        </is>
      </c>
      <c r="AB4" s="32" t="inlineStr">
        <is>
          <t>M27</t>
        </is>
      </c>
      <c r="AC4" s="32" t="inlineStr">
        <is>
          <t>M28</t>
        </is>
      </c>
      <c r="AD4" s="32" t="inlineStr">
        <is>
          <t>M29</t>
        </is>
      </c>
      <c r="AE4" s="32" t="inlineStr">
        <is>
          <t>M30</t>
        </is>
      </c>
      <c r="AF4" s="32" t="inlineStr">
        <is>
          <t>M31</t>
        </is>
      </c>
      <c r="AG4" s="32" t="inlineStr">
        <is>
          <t>M32</t>
        </is>
      </c>
      <c r="AH4" s="32" t="inlineStr">
        <is>
          <t>M33</t>
        </is>
      </c>
      <c r="AI4" s="32" t="inlineStr">
        <is>
          <t>M34</t>
        </is>
      </c>
      <c r="AJ4" s="32" t="inlineStr">
        <is>
          <t>M35</t>
        </is>
      </c>
      <c r="AK4" s="32" t="inlineStr">
        <is>
          <t>M36</t>
        </is>
      </c>
    </row>
    <row r="5">
      <c r="A5" s="21" t="inlineStr">
        <is>
          <t>▌売上高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4" t="n"/>
    </row>
    <row r="6">
      <c r="A6" s="5" t="inlineStr">
        <is>
          <t xml:space="preserve">  B2B受託収益</t>
        </is>
      </c>
      <c r="B6" s="6">
        <f>ROUND(前提条件!B8/12,0)</f>
        <v/>
      </c>
      <c r="C6" s="6">
        <f>ROUND(前提条件!B8/12,0)</f>
        <v/>
      </c>
      <c r="D6" s="6">
        <f>ROUND(前提条件!B8/12,0)</f>
        <v/>
      </c>
      <c r="E6" s="6">
        <f>ROUND(前提条件!B8/12,0)</f>
        <v/>
      </c>
      <c r="F6" s="6">
        <f>ROUND(前提条件!B8/12,0)</f>
        <v/>
      </c>
      <c r="G6" s="6">
        <f>ROUND(前提条件!B8/12,0)</f>
        <v/>
      </c>
      <c r="H6" s="6">
        <f>ROUND(前提条件!B8/12,0)</f>
        <v/>
      </c>
      <c r="I6" s="6">
        <f>ROUND(前提条件!B8/12,0)</f>
        <v/>
      </c>
      <c r="J6" s="6">
        <f>ROUND(前提条件!B8/12,0)</f>
        <v/>
      </c>
      <c r="K6" s="6">
        <f>ROUND(前提条件!B8/12,0)</f>
        <v/>
      </c>
      <c r="L6" s="6">
        <f>ROUND(前提条件!B8/12,0)</f>
        <v/>
      </c>
      <c r="M6" s="6">
        <f>ROUND(前提条件!B8/12,0)</f>
        <v/>
      </c>
      <c r="N6" s="6">
        <f>ROUND(前提条件!C8/12,0)</f>
        <v/>
      </c>
      <c r="O6" s="6">
        <f>ROUND(前提条件!C8/12,0)</f>
        <v/>
      </c>
      <c r="P6" s="6">
        <f>ROUND(前提条件!C8/12,0)</f>
        <v/>
      </c>
      <c r="Q6" s="6">
        <f>ROUND(前提条件!C8/12,0)</f>
        <v/>
      </c>
      <c r="R6" s="6">
        <f>ROUND(前提条件!C8/12,0)</f>
        <v/>
      </c>
      <c r="S6" s="6">
        <f>ROUND(前提条件!C8/12,0)</f>
        <v/>
      </c>
      <c r="T6" s="6">
        <f>ROUND(前提条件!C8/12,0)</f>
        <v/>
      </c>
      <c r="U6" s="6">
        <f>ROUND(前提条件!C8/12,0)</f>
        <v/>
      </c>
      <c r="V6" s="6">
        <f>ROUND(前提条件!C8/12,0)</f>
        <v/>
      </c>
      <c r="W6" s="6">
        <f>ROUND(前提条件!C8/12,0)</f>
        <v/>
      </c>
      <c r="X6" s="6">
        <f>ROUND(前提条件!C8/12,0)</f>
        <v/>
      </c>
      <c r="Y6" s="6">
        <f>ROUND(前提条件!C8/12,0)</f>
        <v/>
      </c>
      <c r="Z6" s="6">
        <f>ROUND(前提条件!D8/12,0)</f>
        <v/>
      </c>
      <c r="AA6" s="6">
        <f>ROUND(前提条件!D8/12,0)</f>
        <v/>
      </c>
      <c r="AB6" s="6">
        <f>ROUND(前提条件!D8/12,0)</f>
        <v/>
      </c>
      <c r="AC6" s="6">
        <f>ROUND(前提条件!D8/12,0)</f>
        <v/>
      </c>
      <c r="AD6" s="6">
        <f>ROUND(前提条件!D8/12,0)</f>
        <v/>
      </c>
      <c r="AE6" s="6">
        <f>ROUND(前提条件!D8/12,0)</f>
        <v/>
      </c>
      <c r="AF6" s="6">
        <f>ROUND(前提条件!D8/12,0)</f>
        <v/>
      </c>
      <c r="AG6" s="6">
        <f>ROUND(前提条件!D8/12,0)</f>
        <v/>
      </c>
      <c r="AH6" s="6">
        <f>ROUND(前提条件!D8/12,0)</f>
        <v/>
      </c>
      <c r="AI6" s="6">
        <f>ROUND(前提条件!D8/12,0)</f>
        <v/>
      </c>
      <c r="AJ6" s="6">
        <f>ROUND(前提条件!D8/12,0)</f>
        <v/>
      </c>
      <c r="AK6" s="6">
        <f>ROUND(前提条件!D8/12,0)</f>
        <v/>
      </c>
    </row>
    <row r="7">
      <c r="A7" s="5" t="inlineStr">
        <is>
          <t xml:space="preserve">  人材紹介フィー</t>
        </is>
      </c>
      <c r="B7" s="6">
        <f>ROUND(前提条件!B11/12,0)</f>
        <v/>
      </c>
      <c r="C7" s="6">
        <f>ROUND(前提条件!B11/12,0)</f>
        <v/>
      </c>
      <c r="D7" s="6">
        <f>ROUND(前提条件!B11/12,0)</f>
        <v/>
      </c>
      <c r="E7" s="6">
        <f>ROUND(前提条件!B11/12,0)</f>
        <v/>
      </c>
      <c r="F7" s="6">
        <f>ROUND(前提条件!B11/12,0)</f>
        <v/>
      </c>
      <c r="G7" s="6">
        <f>ROUND(前提条件!B11/12,0)</f>
        <v/>
      </c>
      <c r="H7" s="6">
        <f>ROUND(前提条件!B11/12,0)</f>
        <v/>
      </c>
      <c r="I7" s="6">
        <f>ROUND(前提条件!B11/12,0)</f>
        <v/>
      </c>
      <c r="J7" s="6">
        <f>ROUND(前提条件!B11/12,0)</f>
        <v/>
      </c>
      <c r="K7" s="6">
        <f>ROUND(前提条件!B11/12,0)</f>
        <v/>
      </c>
      <c r="L7" s="6">
        <f>ROUND(前提条件!B11/12,0)</f>
        <v/>
      </c>
      <c r="M7" s="6">
        <f>ROUND(前提条件!B11/12,0)</f>
        <v/>
      </c>
      <c r="N7" s="6">
        <f>ROUND(前提条件!C11/12,0)</f>
        <v/>
      </c>
      <c r="O7" s="6">
        <f>ROUND(前提条件!C11/12,0)</f>
        <v/>
      </c>
      <c r="P7" s="6">
        <f>ROUND(前提条件!C11/12,0)</f>
        <v/>
      </c>
      <c r="Q7" s="6">
        <f>ROUND(前提条件!C11/12,0)</f>
        <v/>
      </c>
      <c r="R7" s="6">
        <f>ROUND(前提条件!C11/12,0)</f>
        <v/>
      </c>
      <c r="S7" s="6">
        <f>ROUND(前提条件!C11/12,0)</f>
        <v/>
      </c>
      <c r="T7" s="6">
        <f>ROUND(前提条件!C11/12,0)</f>
        <v/>
      </c>
      <c r="U7" s="6">
        <f>ROUND(前提条件!C11/12,0)</f>
        <v/>
      </c>
      <c r="V7" s="6">
        <f>ROUND(前提条件!C11/12,0)</f>
        <v/>
      </c>
      <c r="W7" s="6">
        <f>ROUND(前提条件!C11/12,0)</f>
        <v/>
      </c>
      <c r="X7" s="6">
        <f>ROUND(前提条件!C11/12,0)</f>
        <v/>
      </c>
      <c r="Y7" s="6">
        <f>ROUND(前提条件!C11/12,0)</f>
        <v/>
      </c>
      <c r="Z7" s="6">
        <f>ROUND(前提条件!D11/12,0)</f>
        <v/>
      </c>
      <c r="AA7" s="6">
        <f>ROUND(前提条件!D11/12,0)</f>
        <v/>
      </c>
      <c r="AB7" s="6">
        <f>ROUND(前提条件!D11/12,0)</f>
        <v/>
      </c>
      <c r="AC7" s="6">
        <f>ROUND(前提条件!D11/12,0)</f>
        <v/>
      </c>
      <c r="AD7" s="6">
        <f>ROUND(前提条件!D11/12,0)</f>
        <v/>
      </c>
      <c r="AE7" s="6">
        <f>ROUND(前提条件!D11/12,0)</f>
        <v/>
      </c>
      <c r="AF7" s="6">
        <f>ROUND(前提条件!D11/12,0)</f>
        <v/>
      </c>
      <c r="AG7" s="6">
        <f>ROUND(前提条件!D11/12,0)</f>
        <v/>
      </c>
      <c r="AH7" s="6">
        <f>ROUND(前提条件!D11/12,0)</f>
        <v/>
      </c>
      <c r="AI7" s="6">
        <f>ROUND(前提条件!D11/12,0)</f>
        <v/>
      </c>
      <c r="AJ7" s="6">
        <f>ROUND(前提条件!D11/12,0)</f>
        <v/>
      </c>
      <c r="AK7" s="6">
        <f>ROUND(前提条件!D11/12,0)</f>
        <v/>
      </c>
    </row>
    <row r="8">
      <c r="A8" s="5" t="inlineStr">
        <is>
          <t xml:space="preserve">  プロジェクト収益</t>
        </is>
      </c>
      <c r="B8" s="6">
        <f>ROUND(前提条件!B14/12,0)</f>
        <v/>
      </c>
      <c r="C8" s="6">
        <f>ROUND(前提条件!B14/12,0)</f>
        <v/>
      </c>
      <c r="D8" s="6">
        <f>ROUND(前提条件!B14/12,0)</f>
        <v/>
      </c>
      <c r="E8" s="6">
        <f>ROUND(前提条件!B14/12,0)</f>
        <v/>
      </c>
      <c r="F8" s="6">
        <f>ROUND(前提条件!B14/12,0)</f>
        <v/>
      </c>
      <c r="G8" s="6">
        <f>ROUND(前提条件!B14/12,0)</f>
        <v/>
      </c>
      <c r="H8" s="6">
        <f>ROUND(前提条件!B14/12,0)</f>
        <v/>
      </c>
      <c r="I8" s="6">
        <f>ROUND(前提条件!B14/12,0)</f>
        <v/>
      </c>
      <c r="J8" s="6">
        <f>ROUND(前提条件!B14/12,0)</f>
        <v/>
      </c>
      <c r="K8" s="6">
        <f>ROUND(前提条件!B14/12,0)</f>
        <v/>
      </c>
      <c r="L8" s="6">
        <f>ROUND(前提条件!B14/12,0)</f>
        <v/>
      </c>
      <c r="M8" s="6">
        <f>ROUND(前提条件!B14/12,0)</f>
        <v/>
      </c>
      <c r="N8" s="6">
        <f>ROUND(前提条件!C14/12,0)</f>
        <v/>
      </c>
      <c r="O8" s="6">
        <f>ROUND(前提条件!C14/12,0)</f>
        <v/>
      </c>
      <c r="P8" s="6">
        <f>ROUND(前提条件!C14/12,0)</f>
        <v/>
      </c>
      <c r="Q8" s="6">
        <f>ROUND(前提条件!C14/12,0)</f>
        <v/>
      </c>
      <c r="R8" s="6">
        <f>ROUND(前提条件!C14/12,0)</f>
        <v/>
      </c>
      <c r="S8" s="6">
        <f>ROUND(前提条件!C14/12,0)</f>
        <v/>
      </c>
      <c r="T8" s="6">
        <f>ROUND(前提条件!C14/12,0)</f>
        <v/>
      </c>
      <c r="U8" s="6">
        <f>ROUND(前提条件!C14/12,0)</f>
        <v/>
      </c>
      <c r="V8" s="6">
        <f>ROUND(前提条件!C14/12,0)</f>
        <v/>
      </c>
      <c r="W8" s="6">
        <f>ROUND(前提条件!C14/12,0)</f>
        <v/>
      </c>
      <c r="X8" s="6">
        <f>ROUND(前提条件!C14/12,0)</f>
        <v/>
      </c>
      <c r="Y8" s="6">
        <f>ROUND(前提条件!C14/12,0)</f>
        <v/>
      </c>
      <c r="Z8" s="6">
        <f>ROUND(前提条件!D14/12,0)</f>
        <v/>
      </c>
      <c r="AA8" s="6">
        <f>ROUND(前提条件!D14/12,0)</f>
        <v/>
      </c>
      <c r="AB8" s="6">
        <f>ROUND(前提条件!D14/12,0)</f>
        <v/>
      </c>
      <c r="AC8" s="6">
        <f>ROUND(前提条件!D14/12,0)</f>
        <v/>
      </c>
      <c r="AD8" s="6">
        <f>ROUND(前提条件!D14/12,0)</f>
        <v/>
      </c>
      <c r="AE8" s="6">
        <f>ROUND(前提条件!D14/12,0)</f>
        <v/>
      </c>
      <c r="AF8" s="6">
        <f>ROUND(前提条件!D14/12,0)</f>
        <v/>
      </c>
      <c r="AG8" s="6">
        <f>ROUND(前提条件!D14/12,0)</f>
        <v/>
      </c>
      <c r="AH8" s="6">
        <f>ROUND(前提条件!D14/12,0)</f>
        <v/>
      </c>
      <c r="AI8" s="6">
        <f>ROUND(前提条件!D14/12,0)</f>
        <v/>
      </c>
      <c r="AJ8" s="6">
        <f>ROUND(前提条件!D14/12,0)</f>
        <v/>
      </c>
      <c r="AK8" s="6">
        <f>ROUND(前提条件!D14/12,0)</f>
        <v/>
      </c>
    </row>
    <row r="9">
      <c r="A9" s="9" t="inlineStr">
        <is>
          <t>売上合計</t>
        </is>
      </c>
      <c r="B9" s="10">
        <f>ROUND(前提条件!B15/12,0)</f>
        <v/>
      </c>
      <c r="C9" s="10">
        <f>ROUND(前提条件!B15/12,0)</f>
        <v/>
      </c>
      <c r="D9" s="10">
        <f>ROUND(前提条件!B15/12,0)</f>
        <v/>
      </c>
      <c r="E9" s="10">
        <f>ROUND(前提条件!B15/12,0)</f>
        <v/>
      </c>
      <c r="F9" s="10">
        <f>ROUND(前提条件!B15/12,0)</f>
        <v/>
      </c>
      <c r="G9" s="10">
        <f>ROUND(前提条件!B15/12,0)</f>
        <v/>
      </c>
      <c r="H9" s="10">
        <f>ROUND(前提条件!B15/12,0)</f>
        <v/>
      </c>
      <c r="I9" s="10">
        <f>ROUND(前提条件!B15/12,0)</f>
        <v/>
      </c>
      <c r="J9" s="10">
        <f>ROUND(前提条件!B15/12,0)</f>
        <v/>
      </c>
      <c r="K9" s="10">
        <f>ROUND(前提条件!B15/12,0)</f>
        <v/>
      </c>
      <c r="L9" s="10">
        <f>ROUND(前提条件!B15/12,0)</f>
        <v/>
      </c>
      <c r="M9" s="10">
        <f>ROUND(前提条件!B15/12,0)</f>
        <v/>
      </c>
      <c r="N9" s="10">
        <f>ROUND(前提条件!C15/12,0)</f>
        <v/>
      </c>
      <c r="O9" s="10">
        <f>ROUND(前提条件!C15/12,0)</f>
        <v/>
      </c>
      <c r="P9" s="10">
        <f>ROUND(前提条件!C15/12,0)</f>
        <v/>
      </c>
      <c r="Q9" s="10">
        <f>ROUND(前提条件!C15/12,0)</f>
        <v/>
      </c>
      <c r="R9" s="10">
        <f>ROUND(前提条件!C15/12,0)</f>
        <v/>
      </c>
      <c r="S9" s="10">
        <f>ROUND(前提条件!C15/12,0)</f>
        <v/>
      </c>
      <c r="T9" s="10">
        <f>ROUND(前提条件!C15/12,0)</f>
        <v/>
      </c>
      <c r="U9" s="10">
        <f>ROUND(前提条件!C15/12,0)</f>
        <v/>
      </c>
      <c r="V9" s="10">
        <f>ROUND(前提条件!C15/12,0)</f>
        <v/>
      </c>
      <c r="W9" s="10">
        <f>ROUND(前提条件!C15/12,0)</f>
        <v/>
      </c>
      <c r="X9" s="10">
        <f>ROUND(前提条件!C15/12,0)</f>
        <v/>
      </c>
      <c r="Y9" s="10">
        <f>ROUND(前提条件!C15/12,0)</f>
        <v/>
      </c>
      <c r="Z9" s="10">
        <f>ROUND(前提条件!D15/12,0)</f>
        <v/>
      </c>
      <c r="AA9" s="10">
        <f>ROUND(前提条件!D15/12,0)</f>
        <v/>
      </c>
      <c r="AB9" s="10">
        <f>ROUND(前提条件!D15/12,0)</f>
        <v/>
      </c>
      <c r="AC9" s="10">
        <f>ROUND(前提条件!D15/12,0)</f>
        <v/>
      </c>
      <c r="AD9" s="10">
        <f>ROUND(前提条件!D15/12,0)</f>
        <v/>
      </c>
      <c r="AE9" s="10">
        <f>ROUND(前提条件!D15/12,0)</f>
        <v/>
      </c>
      <c r="AF9" s="10">
        <f>ROUND(前提条件!D15/12,0)</f>
        <v/>
      </c>
      <c r="AG9" s="10">
        <f>ROUND(前提条件!D15/12,0)</f>
        <v/>
      </c>
      <c r="AH9" s="10">
        <f>ROUND(前提条件!D15/12,0)</f>
        <v/>
      </c>
      <c r="AI9" s="10">
        <f>ROUND(前提条件!D15/12,0)</f>
        <v/>
      </c>
      <c r="AJ9" s="10">
        <f>ROUND(前提条件!D15/12,0)</f>
        <v/>
      </c>
      <c r="AK9" s="10">
        <f>ROUND(前提条件!D15/12,0)</f>
        <v/>
      </c>
    </row>
    <row r="10">
      <c r="A10" s="21" t="inlineStr">
        <is>
          <t>▌売上原価・粗利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4" t="n"/>
    </row>
    <row r="11">
      <c r="A11" s="34" t="inlineStr">
        <is>
          <t xml:space="preserve">  売上原価合計</t>
        </is>
      </c>
      <c r="B11" s="35">
        <f>ROUND(前提条件!B25/12,0)</f>
        <v/>
      </c>
      <c r="C11" s="35">
        <f>ROUND(前提条件!B25/12,0)</f>
        <v/>
      </c>
      <c r="D11" s="35">
        <f>ROUND(前提条件!B25/12,0)</f>
        <v/>
      </c>
      <c r="E11" s="35">
        <f>ROUND(前提条件!B25/12,0)</f>
        <v/>
      </c>
      <c r="F11" s="35">
        <f>ROUND(前提条件!B25/12,0)</f>
        <v/>
      </c>
      <c r="G11" s="35">
        <f>ROUND(前提条件!B25/12,0)</f>
        <v/>
      </c>
      <c r="H11" s="35">
        <f>ROUND(前提条件!B25/12,0)</f>
        <v/>
      </c>
      <c r="I11" s="35">
        <f>ROUND(前提条件!B25/12,0)</f>
        <v/>
      </c>
      <c r="J11" s="35">
        <f>ROUND(前提条件!B25/12,0)</f>
        <v/>
      </c>
      <c r="K11" s="35">
        <f>ROUND(前提条件!B25/12,0)</f>
        <v/>
      </c>
      <c r="L11" s="35">
        <f>ROUND(前提条件!B25/12,0)</f>
        <v/>
      </c>
      <c r="M11" s="35">
        <f>ROUND(前提条件!B25/12,0)</f>
        <v/>
      </c>
      <c r="N11" s="35">
        <f>ROUND(前提条件!C25/12,0)</f>
        <v/>
      </c>
      <c r="O11" s="35">
        <f>ROUND(前提条件!C25/12,0)</f>
        <v/>
      </c>
      <c r="P11" s="35">
        <f>ROUND(前提条件!C25/12,0)</f>
        <v/>
      </c>
      <c r="Q11" s="35">
        <f>ROUND(前提条件!C25/12,0)</f>
        <v/>
      </c>
      <c r="R11" s="35">
        <f>ROUND(前提条件!C25/12,0)</f>
        <v/>
      </c>
      <c r="S11" s="35">
        <f>ROUND(前提条件!C25/12,0)</f>
        <v/>
      </c>
      <c r="T11" s="35">
        <f>ROUND(前提条件!C25/12,0)</f>
        <v/>
      </c>
      <c r="U11" s="35">
        <f>ROUND(前提条件!C25/12,0)</f>
        <v/>
      </c>
      <c r="V11" s="35">
        <f>ROUND(前提条件!C25/12,0)</f>
        <v/>
      </c>
      <c r="W11" s="35">
        <f>ROUND(前提条件!C25/12,0)</f>
        <v/>
      </c>
      <c r="X11" s="35">
        <f>ROUND(前提条件!C25/12,0)</f>
        <v/>
      </c>
      <c r="Y11" s="35">
        <f>ROUND(前提条件!C25/12,0)</f>
        <v/>
      </c>
      <c r="Z11" s="35">
        <f>ROUND(前提条件!D25/12,0)</f>
        <v/>
      </c>
      <c r="AA11" s="35">
        <f>ROUND(前提条件!D25/12,0)</f>
        <v/>
      </c>
      <c r="AB11" s="35">
        <f>ROUND(前提条件!D25/12,0)</f>
        <v/>
      </c>
      <c r="AC11" s="35">
        <f>ROUND(前提条件!D25/12,0)</f>
        <v/>
      </c>
      <c r="AD11" s="35">
        <f>ROUND(前提条件!D25/12,0)</f>
        <v/>
      </c>
      <c r="AE11" s="35">
        <f>ROUND(前提条件!D25/12,0)</f>
        <v/>
      </c>
      <c r="AF11" s="35">
        <f>ROUND(前提条件!D25/12,0)</f>
        <v/>
      </c>
      <c r="AG11" s="35">
        <f>ROUND(前提条件!D25/12,0)</f>
        <v/>
      </c>
      <c r="AH11" s="35">
        <f>ROUND(前提条件!D25/12,0)</f>
        <v/>
      </c>
      <c r="AI11" s="35">
        <f>ROUND(前提条件!D25/12,0)</f>
        <v/>
      </c>
      <c r="AJ11" s="35">
        <f>ROUND(前提条件!D25/12,0)</f>
        <v/>
      </c>
      <c r="AK11" s="35">
        <f>ROUND(前提条件!D25/12,0)</f>
        <v/>
      </c>
    </row>
    <row r="12">
      <c r="A12" s="7" t="inlineStr">
        <is>
          <t>売上総利益</t>
        </is>
      </c>
      <c r="B12" s="8">
        <f>ROUND(前提条件!B26/12,0)</f>
        <v/>
      </c>
      <c r="C12" s="8">
        <f>ROUND(前提条件!B26/12,0)</f>
        <v/>
      </c>
      <c r="D12" s="8">
        <f>ROUND(前提条件!B26/12,0)</f>
        <v/>
      </c>
      <c r="E12" s="8">
        <f>ROUND(前提条件!B26/12,0)</f>
        <v/>
      </c>
      <c r="F12" s="8">
        <f>ROUND(前提条件!B26/12,0)</f>
        <v/>
      </c>
      <c r="G12" s="8">
        <f>ROUND(前提条件!B26/12,0)</f>
        <v/>
      </c>
      <c r="H12" s="8">
        <f>ROUND(前提条件!B26/12,0)</f>
        <v/>
      </c>
      <c r="I12" s="8">
        <f>ROUND(前提条件!B26/12,0)</f>
        <v/>
      </c>
      <c r="J12" s="8">
        <f>ROUND(前提条件!B26/12,0)</f>
        <v/>
      </c>
      <c r="K12" s="8">
        <f>ROUND(前提条件!B26/12,0)</f>
        <v/>
      </c>
      <c r="L12" s="8">
        <f>ROUND(前提条件!B26/12,0)</f>
        <v/>
      </c>
      <c r="M12" s="8">
        <f>ROUND(前提条件!B26/12,0)</f>
        <v/>
      </c>
      <c r="N12" s="8">
        <f>ROUND(前提条件!C26/12,0)</f>
        <v/>
      </c>
      <c r="O12" s="8">
        <f>ROUND(前提条件!C26/12,0)</f>
        <v/>
      </c>
      <c r="P12" s="8">
        <f>ROUND(前提条件!C26/12,0)</f>
        <v/>
      </c>
      <c r="Q12" s="8">
        <f>ROUND(前提条件!C26/12,0)</f>
        <v/>
      </c>
      <c r="R12" s="8">
        <f>ROUND(前提条件!C26/12,0)</f>
        <v/>
      </c>
      <c r="S12" s="8">
        <f>ROUND(前提条件!C26/12,0)</f>
        <v/>
      </c>
      <c r="T12" s="8">
        <f>ROUND(前提条件!C26/12,0)</f>
        <v/>
      </c>
      <c r="U12" s="8">
        <f>ROUND(前提条件!C26/12,0)</f>
        <v/>
      </c>
      <c r="V12" s="8">
        <f>ROUND(前提条件!C26/12,0)</f>
        <v/>
      </c>
      <c r="W12" s="8">
        <f>ROUND(前提条件!C26/12,0)</f>
        <v/>
      </c>
      <c r="X12" s="8">
        <f>ROUND(前提条件!C26/12,0)</f>
        <v/>
      </c>
      <c r="Y12" s="8">
        <f>ROUND(前提条件!C26/12,0)</f>
        <v/>
      </c>
      <c r="Z12" s="8">
        <f>ROUND(前提条件!D26/12,0)</f>
        <v/>
      </c>
      <c r="AA12" s="8">
        <f>ROUND(前提条件!D26/12,0)</f>
        <v/>
      </c>
      <c r="AB12" s="8">
        <f>ROUND(前提条件!D26/12,0)</f>
        <v/>
      </c>
      <c r="AC12" s="8">
        <f>ROUND(前提条件!D26/12,0)</f>
        <v/>
      </c>
      <c r="AD12" s="8">
        <f>ROUND(前提条件!D26/12,0)</f>
        <v/>
      </c>
      <c r="AE12" s="8">
        <f>ROUND(前提条件!D26/12,0)</f>
        <v/>
      </c>
      <c r="AF12" s="8">
        <f>ROUND(前提条件!D26/12,0)</f>
        <v/>
      </c>
      <c r="AG12" s="8">
        <f>ROUND(前提条件!D26/12,0)</f>
        <v/>
      </c>
      <c r="AH12" s="8">
        <f>ROUND(前提条件!D26/12,0)</f>
        <v/>
      </c>
      <c r="AI12" s="8">
        <f>ROUND(前提条件!D26/12,0)</f>
        <v/>
      </c>
      <c r="AJ12" s="8">
        <f>ROUND(前提条件!D26/12,0)</f>
        <v/>
      </c>
      <c r="AK12" s="8">
        <f>ROUND(前提条件!D26/12,0)</f>
        <v/>
      </c>
    </row>
    <row r="13">
      <c r="A13" s="21" t="inlineStr">
        <is>
          <t>▌SG&amp;A・営業利益</t>
        </is>
      </c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4" t="n"/>
    </row>
    <row r="14">
      <c r="A14" s="34" t="inlineStr">
        <is>
          <t xml:space="preserve">  SG&amp;A合計</t>
        </is>
      </c>
      <c r="B14" s="35">
        <f>ROUND(前提条件!B39/12,0)</f>
        <v/>
      </c>
      <c r="C14" s="35">
        <f>ROUND(前提条件!B39/12,0)</f>
        <v/>
      </c>
      <c r="D14" s="35">
        <f>ROUND(前提条件!B39/12,0)</f>
        <v/>
      </c>
      <c r="E14" s="35">
        <f>ROUND(前提条件!B39/12,0)</f>
        <v/>
      </c>
      <c r="F14" s="35">
        <f>ROUND(前提条件!B39/12,0)</f>
        <v/>
      </c>
      <c r="G14" s="35">
        <f>ROUND(前提条件!B39/12,0)</f>
        <v/>
      </c>
      <c r="H14" s="35">
        <f>ROUND(前提条件!B39/12,0)</f>
        <v/>
      </c>
      <c r="I14" s="35">
        <f>ROUND(前提条件!B39/12,0)</f>
        <v/>
      </c>
      <c r="J14" s="35">
        <f>ROUND(前提条件!B39/12,0)</f>
        <v/>
      </c>
      <c r="K14" s="35">
        <f>ROUND(前提条件!B39/12,0)</f>
        <v/>
      </c>
      <c r="L14" s="35">
        <f>ROUND(前提条件!B39/12,0)</f>
        <v/>
      </c>
      <c r="M14" s="35">
        <f>ROUND(前提条件!B39/12,0)</f>
        <v/>
      </c>
      <c r="N14" s="35">
        <f>ROUND(前提条件!C39/12,0)</f>
        <v/>
      </c>
      <c r="O14" s="35">
        <f>ROUND(前提条件!C39/12,0)</f>
        <v/>
      </c>
      <c r="P14" s="35">
        <f>ROUND(前提条件!C39/12,0)</f>
        <v/>
      </c>
      <c r="Q14" s="35">
        <f>ROUND(前提条件!C39/12,0)</f>
        <v/>
      </c>
      <c r="R14" s="35">
        <f>ROUND(前提条件!C39/12,0)</f>
        <v/>
      </c>
      <c r="S14" s="35">
        <f>ROUND(前提条件!C39/12,0)</f>
        <v/>
      </c>
      <c r="T14" s="35">
        <f>ROUND(前提条件!C39/12,0)</f>
        <v/>
      </c>
      <c r="U14" s="35">
        <f>ROUND(前提条件!C39/12,0)</f>
        <v/>
      </c>
      <c r="V14" s="35">
        <f>ROUND(前提条件!C39/12,0)</f>
        <v/>
      </c>
      <c r="W14" s="35">
        <f>ROUND(前提条件!C39/12,0)</f>
        <v/>
      </c>
      <c r="X14" s="35">
        <f>ROUND(前提条件!C39/12,0)</f>
        <v/>
      </c>
      <c r="Y14" s="35">
        <f>ROUND(前提条件!C39/12,0)</f>
        <v/>
      </c>
      <c r="Z14" s="35">
        <f>ROUND(前提条件!D39/12,0)</f>
        <v/>
      </c>
      <c r="AA14" s="35">
        <f>ROUND(前提条件!D39/12,0)</f>
        <v/>
      </c>
      <c r="AB14" s="35">
        <f>ROUND(前提条件!D39/12,0)</f>
        <v/>
      </c>
      <c r="AC14" s="35">
        <f>ROUND(前提条件!D39/12,0)</f>
        <v/>
      </c>
      <c r="AD14" s="35">
        <f>ROUND(前提条件!D39/12,0)</f>
        <v/>
      </c>
      <c r="AE14" s="35">
        <f>ROUND(前提条件!D39/12,0)</f>
        <v/>
      </c>
      <c r="AF14" s="35">
        <f>ROUND(前提条件!D39/12,0)</f>
        <v/>
      </c>
      <c r="AG14" s="35">
        <f>ROUND(前提条件!D39/12,0)</f>
        <v/>
      </c>
      <c r="AH14" s="35">
        <f>ROUND(前提条件!D39/12,0)</f>
        <v/>
      </c>
      <c r="AI14" s="35">
        <f>ROUND(前提条件!D39/12,0)</f>
        <v/>
      </c>
      <c r="AJ14" s="35">
        <f>ROUND(前提条件!D39/12,0)</f>
        <v/>
      </c>
      <c r="AK14" s="35">
        <f>ROUND(前提条件!D39/12,0)</f>
        <v/>
      </c>
    </row>
    <row r="15">
      <c r="A15" s="9" t="inlineStr">
        <is>
          <t>営業利益</t>
        </is>
      </c>
      <c r="B15" s="10">
        <f>ROUND(前提条件!B40/12,0)</f>
        <v/>
      </c>
      <c r="C15" s="10">
        <f>ROUND(前提条件!B40/12,0)</f>
        <v/>
      </c>
      <c r="D15" s="10">
        <f>ROUND(前提条件!B40/12,0)</f>
        <v/>
      </c>
      <c r="E15" s="10">
        <f>ROUND(前提条件!B40/12,0)</f>
        <v/>
      </c>
      <c r="F15" s="10">
        <f>ROUND(前提条件!B40/12,0)</f>
        <v/>
      </c>
      <c r="G15" s="10">
        <f>ROUND(前提条件!B40/12,0)</f>
        <v/>
      </c>
      <c r="H15" s="10">
        <f>ROUND(前提条件!B40/12,0)</f>
        <v/>
      </c>
      <c r="I15" s="10">
        <f>ROUND(前提条件!B40/12,0)</f>
        <v/>
      </c>
      <c r="J15" s="10">
        <f>ROUND(前提条件!B40/12,0)</f>
        <v/>
      </c>
      <c r="K15" s="10">
        <f>ROUND(前提条件!B40/12,0)</f>
        <v/>
      </c>
      <c r="L15" s="10">
        <f>ROUND(前提条件!B40/12,0)</f>
        <v/>
      </c>
      <c r="M15" s="10">
        <f>ROUND(前提条件!B40/12,0)</f>
        <v/>
      </c>
      <c r="N15" s="10">
        <f>ROUND(前提条件!C40/12,0)</f>
        <v/>
      </c>
      <c r="O15" s="10">
        <f>ROUND(前提条件!C40/12,0)</f>
        <v/>
      </c>
      <c r="P15" s="10">
        <f>ROUND(前提条件!C40/12,0)</f>
        <v/>
      </c>
      <c r="Q15" s="10">
        <f>ROUND(前提条件!C40/12,0)</f>
        <v/>
      </c>
      <c r="R15" s="10">
        <f>ROUND(前提条件!C40/12,0)</f>
        <v/>
      </c>
      <c r="S15" s="10">
        <f>ROUND(前提条件!C40/12,0)</f>
        <v/>
      </c>
      <c r="T15" s="10">
        <f>ROUND(前提条件!C40/12,0)</f>
        <v/>
      </c>
      <c r="U15" s="10">
        <f>ROUND(前提条件!C40/12,0)</f>
        <v/>
      </c>
      <c r="V15" s="10">
        <f>ROUND(前提条件!C40/12,0)</f>
        <v/>
      </c>
      <c r="W15" s="10">
        <f>ROUND(前提条件!C40/12,0)</f>
        <v/>
      </c>
      <c r="X15" s="10">
        <f>ROUND(前提条件!C40/12,0)</f>
        <v/>
      </c>
      <c r="Y15" s="10">
        <f>ROUND(前提条件!C40/12,0)</f>
        <v/>
      </c>
      <c r="Z15" s="10">
        <f>ROUND(前提条件!D40/12,0)</f>
        <v/>
      </c>
      <c r="AA15" s="10">
        <f>ROUND(前提条件!D40/12,0)</f>
        <v/>
      </c>
      <c r="AB15" s="10">
        <f>ROUND(前提条件!D40/12,0)</f>
        <v/>
      </c>
      <c r="AC15" s="10">
        <f>ROUND(前提条件!D40/12,0)</f>
        <v/>
      </c>
      <c r="AD15" s="10">
        <f>ROUND(前提条件!D40/12,0)</f>
        <v/>
      </c>
      <c r="AE15" s="10">
        <f>ROUND(前提条件!D40/12,0)</f>
        <v/>
      </c>
      <c r="AF15" s="10">
        <f>ROUND(前提条件!D40/12,0)</f>
        <v/>
      </c>
      <c r="AG15" s="10">
        <f>ROUND(前提条件!D40/12,0)</f>
        <v/>
      </c>
      <c r="AH15" s="10">
        <f>ROUND(前提条件!D40/12,0)</f>
        <v/>
      </c>
      <c r="AI15" s="10">
        <f>ROUND(前提条件!D40/12,0)</f>
        <v/>
      </c>
      <c r="AJ15" s="10">
        <f>ROUND(前提条件!D40/12,0)</f>
        <v/>
      </c>
      <c r="AK15" s="10">
        <f>ROUND(前提条件!D40/12,0)</f>
        <v/>
      </c>
    </row>
    <row r="16">
      <c r="A16" s="7" t="inlineStr">
        <is>
          <t>当月純利益（税引後）</t>
        </is>
      </c>
      <c r="B16" s="8">
        <f>ROUND(前提条件!B67/12,0)</f>
        <v/>
      </c>
      <c r="C16" s="8">
        <f>ROUND(前提条件!B67/12,0)</f>
        <v/>
      </c>
      <c r="D16" s="8">
        <f>ROUND(前提条件!B67/12,0)</f>
        <v/>
      </c>
      <c r="E16" s="8">
        <f>ROUND(前提条件!B67/12,0)</f>
        <v/>
      </c>
      <c r="F16" s="8">
        <f>ROUND(前提条件!B67/12,0)</f>
        <v/>
      </c>
      <c r="G16" s="8">
        <f>ROUND(前提条件!B67/12,0)</f>
        <v/>
      </c>
      <c r="H16" s="8">
        <f>ROUND(前提条件!B67/12,0)</f>
        <v/>
      </c>
      <c r="I16" s="8">
        <f>ROUND(前提条件!B67/12,0)</f>
        <v/>
      </c>
      <c r="J16" s="8">
        <f>ROUND(前提条件!B67/12,0)</f>
        <v/>
      </c>
      <c r="K16" s="8">
        <f>ROUND(前提条件!B67/12,0)</f>
        <v/>
      </c>
      <c r="L16" s="8">
        <f>ROUND(前提条件!B67/12,0)</f>
        <v/>
      </c>
      <c r="M16" s="8">
        <f>ROUND(前提条件!B67/12,0)</f>
        <v/>
      </c>
      <c r="N16" s="8">
        <f>ROUND(前提条件!C67/12,0)</f>
        <v/>
      </c>
      <c r="O16" s="8">
        <f>ROUND(前提条件!C67/12,0)</f>
        <v/>
      </c>
      <c r="P16" s="8">
        <f>ROUND(前提条件!C67/12,0)</f>
        <v/>
      </c>
      <c r="Q16" s="8">
        <f>ROUND(前提条件!C67/12,0)</f>
        <v/>
      </c>
      <c r="R16" s="8">
        <f>ROUND(前提条件!C67/12,0)</f>
        <v/>
      </c>
      <c r="S16" s="8">
        <f>ROUND(前提条件!C67/12,0)</f>
        <v/>
      </c>
      <c r="T16" s="8">
        <f>ROUND(前提条件!C67/12,0)</f>
        <v/>
      </c>
      <c r="U16" s="8">
        <f>ROUND(前提条件!C67/12,0)</f>
        <v/>
      </c>
      <c r="V16" s="8">
        <f>ROUND(前提条件!C67/12,0)</f>
        <v/>
      </c>
      <c r="W16" s="8">
        <f>ROUND(前提条件!C67/12,0)</f>
        <v/>
      </c>
      <c r="X16" s="8">
        <f>ROUND(前提条件!C67/12,0)</f>
        <v/>
      </c>
      <c r="Y16" s="8">
        <f>ROUND(前提条件!C67/12,0)</f>
        <v/>
      </c>
      <c r="Z16" s="8">
        <f>ROUND(前提条件!D67/12,0)</f>
        <v/>
      </c>
      <c r="AA16" s="8">
        <f>ROUND(前提条件!D67/12,0)</f>
        <v/>
      </c>
      <c r="AB16" s="8">
        <f>ROUND(前提条件!D67/12,0)</f>
        <v/>
      </c>
      <c r="AC16" s="8">
        <f>ROUND(前提条件!D67/12,0)</f>
        <v/>
      </c>
      <c r="AD16" s="8">
        <f>ROUND(前提条件!D67/12,0)</f>
        <v/>
      </c>
      <c r="AE16" s="8">
        <f>ROUND(前提条件!D67/12,0)</f>
        <v/>
      </c>
      <c r="AF16" s="8">
        <f>ROUND(前提条件!D67/12,0)</f>
        <v/>
      </c>
      <c r="AG16" s="8">
        <f>ROUND(前提条件!D67/12,0)</f>
        <v/>
      </c>
      <c r="AH16" s="8">
        <f>ROUND(前提条件!D67/12,0)</f>
        <v/>
      </c>
      <c r="AI16" s="8">
        <f>ROUND(前提条件!D67/12,0)</f>
        <v/>
      </c>
      <c r="AJ16" s="8">
        <f>ROUND(前提条件!D67/12,0)</f>
        <v/>
      </c>
      <c r="AK16" s="8">
        <f>ROUND(前提条件!D67/12,0)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</row>
    <row r="18">
      <c r="A18" s="26" t="inlineStr">
        <is>
          <t>当月償却費（参考・非現金）</t>
        </is>
      </c>
      <c r="B18" s="27">
        <f>ROUND(前提条件!B54/12,0)</f>
        <v/>
      </c>
      <c r="C18" s="27">
        <f>ROUND(前提条件!B54/12,0)</f>
        <v/>
      </c>
      <c r="D18" s="27">
        <f>ROUND(前提条件!B54/12,0)</f>
        <v/>
      </c>
      <c r="E18" s="27">
        <f>ROUND(前提条件!B54/12,0)</f>
        <v/>
      </c>
      <c r="F18" s="27">
        <f>ROUND(前提条件!B54/12,0)</f>
        <v/>
      </c>
      <c r="G18" s="27">
        <f>ROUND(前提条件!B54/12,0)</f>
        <v/>
      </c>
      <c r="H18" s="27">
        <f>ROUND(前提条件!B54/12,0)</f>
        <v/>
      </c>
      <c r="I18" s="27">
        <f>ROUND(前提条件!B54/12,0)</f>
        <v/>
      </c>
      <c r="J18" s="27">
        <f>ROUND(前提条件!B54/12,0)</f>
        <v/>
      </c>
      <c r="K18" s="27">
        <f>ROUND(前提条件!B54/12,0)</f>
        <v/>
      </c>
      <c r="L18" s="27">
        <f>ROUND(前提条件!B54/12,0)</f>
        <v/>
      </c>
      <c r="M18" s="27">
        <f>ROUND(前提条件!B54/12,0)</f>
        <v/>
      </c>
      <c r="N18" s="27">
        <f>ROUND(前提条件!C54/12,0)</f>
        <v/>
      </c>
      <c r="O18" s="27">
        <f>ROUND(前提条件!C54/12,0)</f>
        <v/>
      </c>
      <c r="P18" s="27">
        <f>ROUND(前提条件!C54/12,0)</f>
        <v/>
      </c>
      <c r="Q18" s="27">
        <f>ROUND(前提条件!C54/12,0)</f>
        <v/>
      </c>
      <c r="R18" s="27">
        <f>ROUND(前提条件!C54/12,0)</f>
        <v/>
      </c>
      <c r="S18" s="27">
        <f>ROUND(前提条件!C54/12,0)</f>
        <v/>
      </c>
      <c r="T18" s="27">
        <f>ROUND(前提条件!C54/12,0)</f>
        <v/>
      </c>
      <c r="U18" s="27">
        <f>ROUND(前提条件!C54/12,0)</f>
        <v/>
      </c>
      <c r="V18" s="27">
        <f>ROUND(前提条件!C54/12,0)</f>
        <v/>
      </c>
      <c r="W18" s="27">
        <f>ROUND(前提条件!C54/12,0)</f>
        <v/>
      </c>
      <c r="X18" s="27">
        <f>ROUND(前提条件!C54/12,0)</f>
        <v/>
      </c>
      <c r="Y18" s="27">
        <f>ROUND(前提条件!C54/12,0)</f>
        <v/>
      </c>
      <c r="Z18" s="27">
        <f>ROUND(前提条件!D54/12,0)</f>
        <v/>
      </c>
      <c r="AA18" s="27">
        <f>ROUND(前提条件!D54/12,0)</f>
        <v/>
      </c>
      <c r="AB18" s="27">
        <f>ROUND(前提条件!D54/12,0)</f>
        <v/>
      </c>
      <c r="AC18" s="27">
        <f>ROUND(前提条件!D54/12,0)</f>
        <v/>
      </c>
      <c r="AD18" s="27">
        <f>ROUND(前提条件!D54/12,0)</f>
        <v/>
      </c>
      <c r="AE18" s="27">
        <f>ROUND(前提条件!D54/12,0)</f>
        <v/>
      </c>
      <c r="AF18" s="27">
        <f>ROUND(前提条件!D54/12,0)</f>
        <v/>
      </c>
      <c r="AG18" s="27">
        <f>ROUND(前提条件!D54/12,0)</f>
        <v/>
      </c>
      <c r="AH18" s="27">
        <f>ROUND(前提条件!D54/12,0)</f>
        <v/>
      </c>
      <c r="AI18" s="27">
        <f>ROUND(前提条件!D54/12,0)</f>
        <v/>
      </c>
      <c r="AJ18" s="27">
        <f>ROUND(前提条件!D54/12,0)</f>
        <v/>
      </c>
      <c r="AK18" s="27">
        <f>ROUND(前提条件!D54/12,0)</f>
        <v/>
      </c>
    </row>
    <row r="19">
      <c r="A19" s="21" t="inlineStr">
        <is>
          <t>▌月次キャッシュフロー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4" t="n"/>
    </row>
    <row r="20">
      <c r="A20" s="5" t="inlineStr">
        <is>
          <t>期首現金残高</t>
        </is>
      </c>
      <c r="B20" s="6">
        <f>BS（貸借対照表）!B6</f>
        <v/>
      </c>
      <c r="C20" s="6">
        <f>B26</f>
        <v/>
      </c>
      <c r="D20" s="6">
        <f>C26</f>
        <v/>
      </c>
      <c r="E20" s="6">
        <f>D26</f>
        <v/>
      </c>
      <c r="F20" s="6">
        <f>E26</f>
        <v/>
      </c>
      <c r="G20" s="6">
        <f>F26</f>
        <v/>
      </c>
      <c r="H20" s="6">
        <f>G26</f>
        <v/>
      </c>
      <c r="I20" s="6">
        <f>H26</f>
        <v/>
      </c>
      <c r="J20" s="6">
        <f>I26</f>
        <v/>
      </c>
      <c r="K20" s="6">
        <f>J26</f>
        <v/>
      </c>
      <c r="L20" s="6">
        <f>K26</f>
        <v/>
      </c>
      <c r="M20" s="6">
        <f>L26</f>
        <v/>
      </c>
      <c r="N20" s="6">
        <f>M26</f>
        <v/>
      </c>
      <c r="O20" s="6">
        <f>N26</f>
        <v/>
      </c>
      <c r="P20" s="6">
        <f>O26</f>
        <v/>
      </c>
      <c r="Q20" s="6">
        <f>P26</f>
        <v/>
      </c>
      <c r="R20" s="6">
        <f>Q26</f>
        <v/>
      </c>
      <c r="S20" s="6">
        <f>R26</f>
        <v/>
      </c>
      <c r="T20" s="6">
        <f>S26</f>
        <v/>
      </c>
      <c r="U20" s="6">
        <f>T26</f>
        <v/>
      </c>
      <c r="V20" s="6">
        <f>U26</f>
        <v/>
      </c>
      <c r="W20" s="6">
        <f>V26</f>
        <v/>
      </c>
      <c r="X20" s="6">
        <f>W26</f>
        <v/>
      </c>
      <c r="Y20" s="6">
        <f>X26</f>
        <v/>
      </c>
      <c r="Z20" s="6">
        <f>Y26</f>
        <v/>
      </c>
      <c r="AA20" s="6">
        <f>Z26</f>
        <v/>
      </c>
      <c r="AB20" s="6">
        <f>AA26</f>
        <v/>
      </c>
      <c r="AC20" s="6">
        <f>AB26</f>
        <v/>
      </c>
      <c r="AD20" s="6">
        <f>AC26</f>
        <v/>
      </c>
      <c r="AE20" s="6">
        <f>AD26</f>
        <v/>
      </c>
      <c r="AF20" s="6">
        <f>AE26</f>
        <v/>
      </c>
      <c r="AG20" s="6">
        <f>AF26</f>
        <v/>
      </c>
      <c r="AH20" s="6">
        <f>AG26</f>
        <v/>
      </c>
      <c r="AI20" s="6">
        <f>AH26</f>
        <v/>
      </c>
      <c r="AJ20" s="6">
        <f>AI26</f>
        <v/>
      </c>
      <c r="AK20" s="6">
        <f>AJ26</f>
        <v/>
      </c>
    </row>
    <row r="21">
      <c r="A21" s="5" t="inlineStr">
        <is>
          <t>当月純利益</t>
        </is>
      </c>
      <c r="B21" s="6">
        <f>ROUND(前提条件!B67/12,0)</f>
        <v/>
      </c>
      <c r="C21" s="6">
        <f>ROUND(前提条件!B67/12,0)</f>
        <v/>
      </c>
      <c r="D21" s="6">
        <f>ROUND(前提条件!B67/12,0)</f>
        <v/>
      </c>
      <c r="E21" s="6">
        <f>ROUND(前提条件!B67/12,0)</f>
        <v/>
      </c>
      <c r="F21" s="6">
        <f>ROUND(前提条件!B67/12,0)</f>
        <v/>
      </c>
      <c r="G21" s="6">
        <f>ROUND(前提条件!B67/12,0)</f>
        <v/>
      </c>
      <c r="H21" s="6">
        <f>ROUND(前提条件!B67/12,0)</f>
        <v/>
      </c>
      <c r="I21" s="6">
        <f>ROUND(前提条件!B67/12,0)</f>
        <v/>
      </c>
      <c r="J21" s="6">
        <f>ROUND(前提条件!B67/12,0)</f>
        <v/>
      </c>
      <c r="K21" s="6">
        <f>ROUND(前提条件!B67/12,0)</f>
        <v/>
      </c>
      <c r="L21" s="6">
        <f>ROUND(前提条件!B67/12,0)</f>
        <v/>
      </c>
      <c r="M21" s="6">
        <f>ROUND(前提条件!B67/12,0)</f>
        <v/>
      </c>
      <c r="N21" s="6">
        <f>ROUND(前提条件!C67/12,0)</f>
        <v/>
      </c>
      <c r="O21" s="6">
        <f>ROUND(前提条件!C67/12,0)</f>
        <v/>
      </c>
      <c r="P21" s="6">
        <f>ROUND(前提条件!C67/12,0)</f>
        <v/>
      </c>
      <c r="Q21" s="6">
        <f>ROUND(前提条件!C67/12,0)</f>
        <v/>
      </c>
      <c r="R21" s="6">
        <f>ROUND(前提条件!C67/12,0)</f>
        <v/>
      </c>
      <c r="S21" s="6">
        <f>ROUND(前提条件!C67/12,0)</f>
        <v/>
      </c>
      <c r="T21" s="6">
        <f>ROUND(前提条件!C67/12,0)</f>
        <v/>
      </c>
      <c r="U21" s="6">
        <f>ROUND(前提条件!C67/12,0)</f>
        <v/>
      </c>
      <c r="V21" s="6">
        <f>ROUND(前提条件!C67/12,0)</f>
        <v/>
      </c>
      <c r="W21" s="6">
        <f>ROUND(前提条件!C67/12,0)</f>
        <v/>
      </c>
      <c r="X21" s="6">
        <f>ROUND(前提条件!C67/12,0)</f>
        <v/>
      </c>
      <c r="Y21" s="6">
        <f>ROUND(前提条件!C67/12,0)</f>
        <v/>
      </c>
      <c r="Z21" s="6">
        <f>ROUND(前提条件!D67/12,0)</f>
        <v/>
      </c>
      <c r="AA21" s="6">
        <f>ROUND(前提条件!D67/12,0)</f>
        <v/>
      </c>
      <c r="AB21" s="6">
        <f>ROUND(前提条件!D67/12,0)</f>
        <v/>
      </c>
      <c r="AC21" s="6">
        <f>ROUND(前提条件!D67/12,0)</f>
        <v/>
      </c>
      <c r="AD21" s="6">
        <f>ROUND(前提条件!D67/12,0)</f>
        <v/>
      </c>
      <c r="AE21" s="6">
        <f>ROUND(前提条件!D67/12,0)</f>
        <v/>
      </c>
      <c r="AF21" s="6">
        <f>ROUND(前提条件!D67/12,0)</f>
        <v/>
      </c>
      <c r="AG21" s="6">
        <f>ROUND(前提条件!D67/12,0)</f>
        <v/>
      </c>
      <c r="AH21" s="6">
        <f>ROUND(前提条件!D67/12,0)</f>
        <v/>
      </c>
      <c r="AI21" s="6">
        <f>ROUND(前提条件!D67/12,0)</f>
        <v/>
      </c>
      <c r="AJ21" s="6">
        <f>ROUND(前提条件!D67/12,0)</f>
        <v/>
      </c>
      <c r="AK21" s="6">
        <f>ROUND(前提条件!D67/12,0)</f>
        <v/>
      </c>
    </row>
    <row r="22">
      <c r="A22" s="5" t="inlineStr">
        <is>
          <t>当月償却費（非現金加算）</t>
        </is>
      </c>
      <c r="B22" s="6">
        <f>ROUND(前提条件!B54/12,0)</f>
        <v/>
      </c>
      <c r="C22" s="6">
        <f>ROUND(前提条件!B54/12,0)</f>
        <v/>
      </c>
      <c r="D22" s="6">
        <f>ROUND(前提条件!B54/12,0)</f>
        <v/>
      </c>
      <c r="E22" s="6">
        <f>ROUND(前提条件!B54/12,0)</f>
        <v/>
      </c>
      <c r="F22" s="6">
        <f>ROUND(前提条件!B54/12,0)</f>
        <v/>
      </c>
      <c r="G22" s="6">
        <f>ROUND(前提条件!B54/12,0)</f>
        <v/>
      </c>
      <c r="H22" s="6">
        <f>ROUND(前提条件!B54/12,0)</f>
        <v/>
      </c>
      <c r="I22" s="6">
        <f>ROUND(前提条件!B54/12,0)</f>
        <v/>
      </c>
      <c r="J22" s="6">
        <f>ROUND(前提条件!B54/12,0)</f>
        <v/>
      </c>
      <c r="K22" s="6">
        <f>ROUND(前提条件!B54/12,0)</f>
        <v/>
      </c>
      <c r="L22" s="6">
        <f>ROUND(前提条件!B54/12,0)</f>
        <v/>
      </c>
      <c r="M22" s="6">
        <f>ROUND(前提条件!B54/12,0)</f>
        <v/>
      </c>
      <c r="N22" s="6">
        <f>ROUND(前提条件!C54/12,0)</f>
        <v/>
      </c>
      <c r="O22" s="6">
        <f>ROUND(前提条件!C54/12,0)</f>
        <v/>
      </c>
      <c r="P22" s="6">
        <f>ROUND(前提条件!C54/12,0)</f>
        <v/>
      </c>
      <c r="Q22" s="6">
        <f>ROUND(前提条件!C54/12,0)</f>
        <v/>
      </c>
      <c r="R22" s="6">
        <f>ROUND(前提条件!C54/12,0)</f>
        <v/>
      </c>
      <c r="S22" s="6">
        <f>ROUND(前提条件!C54/12,0)</f>
        <v/>
      </c>
      <c r="T22" s="6">
        <f>ROUND(前提条件!C54/12,0)</f>
        <v/>
      </c>
      <c r="U22" s="6">
        <f>ROUND(前提条件!C54/12,0)</f>
        <v/>
      </c>
      <c r="V22" s="6">
        <f>ROUND(前提条件!C54/12,0)</f>
        <v/>
      </c>
      <c r="W22" s="6">
        <f>ROUND(前提条件!C54/12,0)</f>
        <v/>
      </c>
      <c r="X22" s="6">
        <f>ROUND(前提条件!C54/12,0)</f>
        <v/>
      </c>
      <c r="Y22" s="6">
        <f>ROUND(前提条件!C54/12,0)</f>
        <v/>
      </c>
      <c r="Z22" s="6">
        <f>ROUND(前提条件!D54/12,0)</f>
        <v/>
      </c>
      <c r="AA22" s="6">
        <f>ROUND(前提条件!D54/12,0)</f>
        <v/>
      </c>
      <c r="AB22" s="6">
        <f>ROUND(前提条件!D54/12,0)</f>
        <v/>
      </c>
      <c r="AC22" s="6">
        <f>ROUND(前提条件!D54/12,0)</f>
        <v/>
      </c>
      <c r="AD22" s="6">
        <f>ROUND(前提条件!D54/12,0)</f>
        <v/>
      </c>
      <c r="AE22" s="6">
        <f>ROUND(前提条件!D54/12,0)</f>
        <v/>
      </c>
      <c r="AF22" s="6">
        <f>ROUND(前提条件!D54/12,0)</f>
        <v/>
      </c>
      <c r="AG22" s="6">
        <f>ROUND(前提条件!D54/12,0)</f>
        <v/>
      </c>
      <c r="AH22" s="6">
        <f>ROUND(前提条件!D54/12,0)</f>
        <v/>
      </c>
      <c r="AI22" s="6">
        <f>ROUND(前提条件!D54/12,0)</f>
        <v/>
      </c>
      <c r="AJ22" s="6">
        <f>ROUND(前提条件!D54/12,0)</f>
        <v/>
      </c>
      <c r="AK22" s="6">
        <f>ROUND(前提条件!D54/12,0)</f>
        <v/>
      </c>
    </row>
    <row r="23">
      <c r="A23" s="5" t="inlineStr">
        <is>
          <t>設備投資（－）</t>
        </is>
      </c>
      <c r="B23" s="25">
        <f>前提条件!B52</f>
        <v/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25">
        <f>前提条件!C52</f>
        <v/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25">
        <f>前提条件!D52</f>
        <v/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</row>
    <row r="24">
      <c r="A24" s="5" t="inlineStr">
        <is>
          <t>運転資本変動（ΔAR−ΔAP）</t>
        </is>
      </c>
      <c r="B24" s="6">
        <f>ROUND(前提条件!B47/12,0)-ROUND(前提条件!B48/12,0)</f>
        <v/>
      </c>
      <c r="C24" s="6">
        <f>ROUND(前提条件!B47/12,0)-ROUND(前提条件!B48/12,0)</f>
        <v/>
      </c>
      <c r="D24" s="6">
        <f>ROUND(前提条件!B47/12,0)-ROUND(前提条件!B48/12,0)</f>
        <v/>
      </c>
      <c r="E24" s="6">
        <f>ROUND(前提条件!B47/12,0)-ROUND(前提条件!B48/12,0)</f>
        <v/>
      </c>
      <c r="F24" s="6">
        <f>ROUND(前提条件!B47/12,0)-ROUND(前提条件!B48/12,0)</f>
        <v/>
      </c>
      <c r="G24" s="6">
        <f>ROUND(前提条件!B47/12,0)-ROUND(前提条件!B48/12,0)</f>
        <v/>
      </c>
      <c r="H24" s="6">
        <f>ROUND(前提条件!B47/12,0)-ROUND(前提条件!B48/12,0)</f>
        <v/>
      </c>
      <c r="I24" s="6">
        <f>ROUND(前提条件!B47/12,0)-ROUND(前提条件!B48/12,0)</f>
        <v/>
      </c>
      <c r="J24" s="6">
        <f>ROUND(前提条件!B47/12,0)-ROUND(前提条件!B48/12,0)</f>
        <v/>
      </c>
      <c r="K24" s="6">
        <f>ROUND(前提条件!B47/12,0)-ROUND(前提条件!B48/12,0)</f>
        <v/>
      </c>
      <c r="L24" s="6">
        <f>ROUND(前提条件!B47/12,0)-ROUND(前提条件!B48/12,0)</f>
        <v/>
      </c>
      <c r="M24" s="6">
        <f>ROUND(前提条件!B47/12,0)-ROUND(前提条件!B48/12,0)</f>
        <v/>
      </c>
      <c r="N24" s="6">
        <f>ROUND((前提条件!C47-前提条件!B47)/12,0)-ROUND((前提条件!C48-前提条件!B48)/12,0)</f>
        <v/>
      </c>
      <c r="O24" s="6">
        <f>ROUND((前提条件!C47-前提条件!B47)/12,0)-ROUND((前提条件!C48-前提条件!B48)/12,0)</f>
        <v/>
      </c>
      <c r="P24" s="6">
        <f>ROUND((前提条件!C47-前提条件!B47)/12,0)-ROUND((前提条件!C48-前提条件!B48)/12,0)</f>
        <v/>
      </c>
      <c r="Q24" s="6">
        <f>ROUND((前提条件!C47-前提条件!B47)/12,0)-ROUND((前提条件!C48-前提条件!B48)/12,0)</f>
        <v/>
      </c>
      <c r="R24" s="6">
        <f>ROUND((前提条件!C47-前提条件!B47)/12,0)-ROUND((前提条件!C48-前提条件!B48)/12,0)</f>
        <v/>
      </c>
      <c r="S24" s="6">
        <f>ROUND((前提条件!C47-前提条件!B47)/12,0)-ROUND((前提条件!C48-前提条件!B48)/12,0)</f>
        <v/>
      </c>
      <c r="T24" s="6">
        <f>ROUND((前提条件!C47-前提条件!B47)/12,0)-ROUND((前提条件!C48-前提条件!B48)/12,0)</f>
        <v/>
      </c>
      <c r="U24" s="6">
        <f>ROUND((前提条件!C47-前提条件!B47)/12,0)-ROUND((前提条件!C48-前提条件!B48)/12,0)</f>
        <v/>
      </c>
      <c r="V24" s="6">
        <f>ROUND((前提条件!C47-前提条件!B47)/12,0)-ROUND((前提条件!C48-前提条件!B48)/12,0)</f>
        <v/>
      </c>
      <c r="W24" s="6">
        <f>ROUND((前提条件!C47-前提条件!B47)/12,0)-ROUND((前提条件!C48-前提条件!B48)/12,0)</f>
        <v/>
      </c>
      <c r="X24" s="6">
        <f>ROUND((前提条件!C47-前提条件!B47)/12,0)-ROUND((前提条件!C48-前提条件!B48)/12,0)</f>
        <v/>
      </c>
      <c r="Y24" s="6">
        <f>ROUND((前提条件!C47-前提条件!B47)/12,0)-ROUND((前提条件!C48-前提条件!B48)/12,0)</f>
        <v/>
      </c>
      <c r="Z24" s="6">
        <f>ROUND((前提条件!D47-前提条件!C47)/12,0)-ROUND((前提条件!D48-前提条件!C48)/12,0)</f>
        <v/>
      </c>
      <c r="AA24" s="6">
        <f>ROUND((前提条件!D47-前提条件!C47)/12,0)-ROUND((前提条件!D48-前提条件!C48)/12,0)</f>
        <v/>
      </c>
      <c r="AB24" s="6">
        <f>ROUND((前提条件!D47-前提条件!C47)/12,0)-ROUND((前提条件!D48-前提条件!C48)/12,0)</f>
        <v/>
      </c>
      <c r="AC24" s="6">
        <f>ROUND((前提条件!D47-前提条件!C47)/12,0)-ROUND((前提条件!D48-前提条件!C48)/12,0)</f>
        <v/>
      </c>
      <c r="AD24" s="6">
        <f>ROUND((前提条件!D47-前提条件!C47)/12,0)-ROUND((前提条件!D48-前提条件!C48)/12,0)</f>
        <v/>
      </c>
      <c r="AE24" s="6">
        <f>ROUND((前提条件!D47-前提条件!C47)/12,0)-ROUND((前提条件!D48-前提条件!C48)/12,0)</f>
        <v/>
      </c>
      <c r="AF24" s="6">
        <f>ROUND((前提条件!D47-前提条件!C47)/12,0)-ROUND((前提条件!D48-前提条件!C48)/12,0)</f>
        <v/>
      </c>
      <c r="AG24" s="6">
        <f>ROUND((前提条件!D47-前提条件!C47)/12,0)-ROUND((前提条件!D48-前提条件!C48)/12,0)</f>
        <v/>
      </c>
      <c r="AH24" s="6">
        <f>ROUND((前提条件!D47-前提条件!C47)/12,0)-ROUND((前提条件!D48-前提条件!C48)/12,0)</f>
        <v/>
      </c>
      <c r="AI24" s="6">
        <f>ROUND((前提条件!D47-前提条件!C47)/12,0)-ROUND((前提条件!D48-前提条件!C48)/12,0)</f>
        <v/>
      </c>
      <c r="AJ24" s="6">
        <f>ROUND((前提条件!D47-前提条件!C47)/12,0)-ROUND((前提条件!D48-前提条件!C48)/12,0)</f>
        <v/>
      </c>
      <c r="AK24" s="6">
        <f>ROUND((前提条件!D47-前提条件!C47)/12,0)-ROUND((前提条件!D48-前提条件!C48)/12,0)</f>
        <v/>
      </c>
    </row>
    <row r="25">
      <c r="A25" s="5" t="inlineStr">
        <is>
          <t>財務調達（調達・借入金）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15">
        <f>前提条件!C60</f>
        <v/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15">
        <f>前提条件!D61</f>
        <v/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</row>
    <row r="26">
      <c r="A26" s="9" t="inlineStr">
        <is>
          <t>期末現金残高</t>
        </is>
      </c>
      <c r="B26" s="10">
        <f>B20+B21+B22-B23-B24+B25</f>
        <v/>
      </c>
      <c r="C26" s="10">
        <f>C20+C21+C22-C23-C24+C25</f>
        <v/>
      </c>
      <c r="D26" s="10">
        <f>D20+D21+D22-D23-D24+D25</f>
        <v/>
      </c>
      <c r="E26" s="10">
        <f>E20+E21+E22-E23-E24+E25</f>
        <v/>
      </c>
      <c r="F26" s="10">
        <f>F20+F21+F22-F23-F24+F25</f>
        <v/>
      </c>
      <c r="G26" s="10">
        <f>G20+G21+G22-G23-G24+G25</f>
        <v/>
      </c>
      <c r="H26" s="10">
        <f>H20+H21+H22-H23-H24+H25</f>
        <v/>
      </c>
      <c r="I26" s="10">
        <f>I20+I21+I22-I23-I24+I25</f>
        <v/>
      </c>
      <c r="J26" s="10">
        <f>J20+J21+J22-J23-J24+J25</f>
        <v/>
      </c>
      <c r="K26" s="10">
        <f>K20+K21+K22-K23-K24+K25</f>
        <v/>
      </c>
      <c r="L26" s="10">
        <f>L20+L21+L22-L23-L24+L25</f>
        <v/>
      </c>
      <c r="M26" s="10">
        <f>M20+M21+M22-M23-M24+M25</f>
        <v/>
      </c>
      <c r="N26" s="10">
        <f>N20+N21+N22-N23-N24+N25</f>
        <v/>
      </c>
      <c r="O26" s="10">
        <f>O20+O21+O22-O23-O24+O25</f>
        <v/>
      </c>
      <c r="P26" s="10">
        <f>P20+P21+P22-P23-P24+P25</f>
        <v/>
      </c>
      <c r="Q26" s="10">
        <f>Q20+Q21+Q22-Q23-Q24+Q25</f>
        <v/>
      </c>
      <c r="R26" s="10">
        <f>R20+R21+R22-R23-R24+R25</f>
        <v/>
      </c>
      <c r="S26" s="10">
        <f>S20+S21+S22-S23-S24+S25</f>
        <v/>
      </c>
      <c r="T26" s="10">
        <f>T20+T21+T22-T23-T24+T25</f>
        <v/>
      </c>
      <c r="U26" s="10">
        <f>U20+U21+U22-U23-U24+U25</f>
        <v/>
      </c>
      <c r="V26" s="10">
        <f>V20+V21+V22-V23-V24+V25</f>
        <v/>
      </c>
      <c r="W26" s="10">
        <f>W20+W21+W22-W23-W24+W25</f>
        <v/>
      </c>
      <c r="X26" s="10">
        <f>X20+X21+X22-X23-X24+X25</f>
        <v/>
      </c>
      <c r="Y26" s="10">
        <f>Y20+Y21+Y22-Y23-Y24+Y25</f>
        <v/>
      </c>
      <c r="Z26" s="10">
        <f>Z20+Z21+Z22-Z23-Z24+Z25</f>
        <v/>
      </c>
      <c r="AA26" s="10">
        <f>AA20+AA21+AA22-AA23-AA24+AA25</f>
        <v/>
      </c>
      <c r="AB26" s="10">
        <f>AB20+AB21+AB22-AB23-AB24+AB25</f>
        <v/>
      </c>
      <c r="AC26" s="10">
        <f>AC20+AC21+AC22-AC23-AC24+AC25</f>
        <v/>
      </c>
      <c r="AD26" s="10">
        <f>AD20+AD21+AD22-AD23-AD24+AD25</f>
        <v/>
      </c>
      <c r="AE26" s="10">
        <f>AE20+AE21+AE22-AE23-AE24+AE25</f>
        <v/>
      </c>
      <c r="AF26" s="10">
        <f>AF20+AF21+AF22-AF23-AF24+AF25</f>
        <v/>
      </c>
      <c r="AG26" s="10">
        <f>AG20+AG21+AG22-AG23-AG24+AG25</f>
        <v/>
      </c>
      <c r="AH26" s="10">
        <f>AH20+AH21+AH22-AH23-AH24+AH25</f>
        <v/>
      </c>
      <c r="AI26" s="10">
        <f>AI20+AI21+AI22-AI23-AI24+AI25</f>
        <v/>
      </c>
      <c r="AJ26" s="10">
        <f>AJ20+AJ21+AJ22-AJ23-AJ24+AJ25</f>
        <v/>
      </c>
      <c r="AK26" s="10">
        <f>AK20+AK21+AK22-AK23-AK24+AK25</f>
        <v/>
      </c>
    </row>
  </sheetData>
  <mergeCells count="9">
    <mergeCell ref="N3:Y3"/>
    <mergeCell ref="B3:M3"/>
    <mergeCell ref="A2:AK2"/>
    <mergeCell ref="A19:AK19"/>
    <mergeCell ref="A10:AK10"/>
    <mergeCell ref="A13:AK13"/>
    <mergeCell ref="A5:AK5"/>
    <mergeCell ref="A1:AK1"/>
    <mergeCell ref="Z3:A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UNLID 感度分析 v4.2  ─  ユニットエコノミクス × シナリオ比較</t>
        </is>
      </c>
    </row>
    <row r="2">
      <c r="A2" s="2" t="inlineStr">
        <is>
          <t>★ マトリックスは静的計算。シナリオサマリーは前提条件シート基準値に倍率を乗算。</t>
        </is>
      </c>
    </row>
    <row r="4">
      <c r="A4" s="36" t="inlineStr">
        <is>
          <t>▌月商マトリックス（万円/月）  ─  単価：20万円/社 固定</t>
        </is>
      </c>
    </row>
    <row r="5">
      <c r="A5" s="31" t="inlineStr">
        <is>
          <t>FDE人数 ╲ 担当社数</t>
        </is>
      </c>
      <c r="B5" s="37" t="inlineStr">
        <is>
          <t>4社</t>
        </is>
      </c>
      <c r="C5" s="37" t="inlineStr">
        <is>
          <t>5社</t>
        </is>
      </c>
      <c r="D5" s="33" t="inlineStr">
        <is>
          <t>6社 ★BEP</t>
        </is>
      </c>
      <c r="E5" s="37" t="inlineStr">
        <is>
          <t>7社</t>
        </is>
      </c>
      <c r="F5" s="37" t="inlineStr">
        <is>
          <t>8社</t>
        </is>
      </c>
    </row>
    <row r="6">
      <c r="A6" s="16" t="inlineStr">
        <is>
          <t>FDE 1名</t>
        </is>
      </c>
      <c r="B6" s="6" t="n">
        <v>80</v>
      </c>
      <c r="C6" s="6" t="n">
        <v>100</v>
      </c>
      <c r="D6" s="8" t="n">
        <v>120</v>
      </c>
      <c r="E6" s="6" t="n">
        <v>140</v>
      </c>
      <c r="F6" s="6" t="n">
        <v>160</v>
      </c>
    </row>
    <row r="7">
      <c r="A7" s="16" t="inlineStr">
        <is>
          <t>FDE 2名</t>
        </is>
      </c>
      <c r="B7" s="6" t="n">
        <v>160</v>
      </c>
      <c r="C7" s="6" t="n">
        <v>200</v>
      </c>
      <c r="D7" s="38" t="n">
        <v>240</v>
      </c>
      <c r="E7" s="6" t="n">
        <v>280</v>
      </c>
      <c r="F7" s="6" t="n">
        <v>320</v>
      </c>
    </row>
    <row r="8">
      <c r="A8" s="16" t="inlineStr">
        <is>
          <t>FDE 3名</t>
        </is>
      </c>
      <c r="B8" s="6" t="n">
        <v>240</v>
      </c>
      <c r="C8" s="6" t="n">
        <v>300</v>
      </c>
      <c r="D8" s="38" t="n">
        <v>360</v>
      </c>
      <c r="E8" s="6" t="n">
        <v>420</v>
      </c>
      <c r="F8" s="6" t="n">
        <v>480</v>
      </c>
    </row>
    <row r="9">
      <c r="A9" s="16" t="inlineStr">
        <is>
          <t>FDE 4名</t>
        </is>
      </c>
      <c r="B9" s="6" t="n">
        <v>320</v>
      </c>
      <c r="C9" s="6" t="n">
        <v>400</v>
      </c>
      <c r="D9" s="38" t="n">
        <v>480</v>
      </c>
      <c r="E9" s="6" t="n">
        <v>560</v>
      </c>
      <c r="F9" s="6" t="n">
        <v>640</v>
      </c>
    </row>
    <row r="10">
      <c r="A10" s="16" t="inlineStr">
        <is>
          <t>FDE 5名</t>
        </is>
      </c>
      <c r="B10" s="6" t="n">
        <v>400</v>
      </c>
      <c r="C10" s="6" t="n">
        <v>500</v>
      </c>
      <c r="D10" s="38" t="n">
        <v>600</v>
      </c>
      <c r="E10" s="6" t="n">
        <v>700</v>
      </c>
      <c r="F10" s="6" t="n">
        <v>800</v>
      </c>
    </row>
    <row r="12">
      <c r="A12" s="36" t="inlineStr">
        <is>
          <t>▌粗利マトリックス（万円/月）  ─  ワーカー費15%控除 + FDE給与40万/名控除</t>
        </is>
      </c>
    </row>
    <row r="13">
      <c r="A13" s="31" t="inlineStr">
        <is>
          <t>FDE人数 ╲ 担当社数</t>
        </is>
      </c>
      <c r="B13" s="37" t="inlineStr">
        <is>
          <t>4社</t>
        </is>
      </c>
      <c r="C13" s="37" t="inlineStr">
        <is>
          <t>5社</t>
        </is>
      </c>
      <c r="D13" s="33" t="inlineStr">
        <is>
          <t>6社 ★BEP</t>
        </is>
      </c>
      <c r="E13" s="37" t="inlineStr">
        <is>
          <t>7社</t>
        </is>
      </c>
      <c r="F13" s="37" t="inlineStr">
        <is>
          <t>8社</t>
        </is>
      </c>
    </row>
    <row r="14">
      <c r="A14" s="16" t="inlineStr">
        <is>
          <t>FDE 1名</t>
        </is>
      </c>
      <c r="B14" s="6" t="n">
        <v>28</v>
      </c>
      <c r="C14" s="6" t="n">
        <v>45</v>
      </c>
      <c r="D14" s="8" t="n">
        <v>62</v>
      </c>
      <c r="E14" s="6" t="n">
        <v>79</v>
      </c>
      <c r="F14" s="6" t="n">
        <v>96</v>
      </c>
    </row>
    <row r="15">
      <c r="A15" s="16" t="inlineStr">
        <is>
          <t>FDE 2名</t>
        </is>
      </c>
      <c r="B15" s="6" t="n">
        <v>56</v>
      </c>
      <c r="C15" s="6" t="n">
        <v>90</v>
      </c>
      <c r="D15" s="38" t="n">
        <v>124</v>
      </c>
      <c r="E15" s="6" t="n">
        <v>158</v>
      </c>
      <c r="F15" s="6" t="n">
        <v>192</v>
      </c>
    </row>
    <row r="16">
      <c r="A16" s="16" t="inlineStr">
        <is>
          <t>FDE 3名</t>
        </is>
      </c>
      <c r="B16" s="6" t="n">
        <v>84</v>
      </c>
      <c r="C16" s="6" t="n">
        <v>135</v>
      </c>
      <c r="D16" s="38" t="n">
        <v>186</v>
      </c>
      <c r="E16" s="6" t="n">
        <v>237</v>
      </c>
      <c r="F16" s="6" t="n">
        <v>288</v>
      </c>
    </row>
    <row r="17">
      <c r="A17" s="16" t="inlineStr">
        <is>
          <t>FDE 4名</t>
        </is>
      </c>
      <c r="B17" s="6" t="n">
        <v>112</v>
      </c>
      <c r="C17" s="6" t="n">
        <v>180</v>
      </c>
      <c r="D17" s="38" t="n">
        <v>248</v>
      </c>
      <c r="E17" s="6" t="n">
        <v>316</v>
      </c>
      <c r="F17" s="6" t="n">
        <v>384</v>
      </c>
    </row>
    <row r="18">
      <c r="A18" s="16" t="inlineStr">
        <is>
          <t>FDE 5名</t>
        </is>
      </c>
      <c r="B18" s="6" t="n">
        <v>140</v>
      </c>
      <c r="C18" s="6" t="n">
        <v>225</v>
      </c>
      <c r="D18" s="38" t="n">
        <v>310</v>
      </c>
      <c r="E18" s="6" t="n">
        <v>395</v>
      </c>
      <c r="F18" s="6" t="n">
        <v>480</v>
      </c>
    </row>
    <row r="20">
      <c r="A20" s="36" t="inlineStr">
        <is>
          <t>▌B2B単価感度（Year1）  ─  FDE×社数構成不変、月額単価のみ変動</t>
        </is>
      </c>
    </row>
    <row r="21">
      <c r="A21" s="4" t="inlineStr">
        <is>
          <t>月額単価</t>
        </is>
      </c>
      <c r="B21" s="4" t="inlineStr">
        <is>
          <t>Y1 売上（万円）</t>
        </is>
      </c>
      <c r="C21" s="4" t="inlineStr">
        <is>
          <t>Y1 粗利（万円）</t>
        </is>
      </c>
      <c r="D21" s="4" t="inlineStr">
        <is>
          <t>Y1 営業利益（万円）</t>
        </is>
      </c>
      <c r="E21" s="4" t="inlineStr">
        <is>
          <t>Base比変化率</t>
        </is>
      </c>
    </row>
    <row r="22">
      <c r="A22" s="24" t="inlineStr">
        <is>
          <t>15万円/社</t>
        </is>
      </c>
      <c r="B22" s="25">
        <f>ROUND(前提条件!B15*0.75,0)</f>
        <v/>
      </c>
      <c r="C22" s="25">
        <f>ROUND(前提条件!B26*0.75,0)</f>
        <v/>
      </c>
      <c r="D22" s="25">
        <f>ROUND(前提条件!B40*0.75,0)</f>
        <v/>
      </c>
      <c r="E22" s="39" t="n">
        <v>-0.25</v>
      </c>
    </row>
    <row r="23">
      <c r="A23" s="24" t="inlineStr">
        <is>
          <t>17万円/社</t>
        </is>
      </c>
      <c r="B23" s="25">
        <f>ROUND(前提条件!B15*0.85,0)</f>
        <v/>
      </c>
      <c r="C23" s="25">
        <f>ROUND(前提条件!B26*0.85,0)</f>
        <v/>
      </c>
      <c r="D23" s="25">
        <f>ROUND(前提条件!B40*0.85,0)</f>
        <v/>
      </c>
      <c r="E23" s="39" t="n">
        <v>-0.15</v>
      </c>
    </row>
    <row r="24">
      <c r="A24" s="40" t="inlineStr">
        <is>
          <t>20万円/社  ★Base</t>
        </is>
      </c>
      <c r="B24" s="38">
        <f>ROUND(前提条件!B15*1.0,0)</f>
        <v/>
      </c>
      <c r="C24" s="38">
        <f>ROUND(前提条件!B26*1.0,0)</f>
        <v/>
      </c>
      <c r="D24" s="38">
        <f>ROUND(前提条件!B40*1.0,0)</f>
        <v/>
      </c>
      <c r="E24" s="41" t="n">
        <v>0</v>
      </c>
    </row>
    <row r="25">
      <c r="A25" s="14" t="inlineStr">
        <is>
          <t>23万円/社</t>
        </is>
      </c>
      <c r="B25" s="15">
        <f>ROUND(前提条件!B15*1.15,0)</f>
        <v/>
      </c>
      <c r="C25" s="15">
        <f>ROUND(前提条件!B26*1.15,0)</f>
        <v/>
      </c>
      <c r="D25" s="15">
        <f>ROUND(前提条件!B40*1.15,0)</f>
        <v/>
      </c>
      <c r="E25" s="42" t="n">
        <v>0.15</v>
      </c>
    </row>
    <row r="26">
      <c r="A26" s="14" t="inlineStr">
        <is>
          <t>25万円/社</t>
        </is>
      </c>
      <c r="B26" s="15">
        <f>ROUND(前提条件!B15*1.25,0)</f>
        <v/>
      </c>
      <c r="C26" s="15">
        <f>ROUND(前提条件!B26*1.25,0)</f>
        <v/>
      </c>
      <c r="D26" s="15">
        <f>ROUND(前提条件!B40*1.25,0)</f>
        <v/>
      </c>
      <c r="E26" s="42" t="n">
        <v>0.25</v>
      </c>
    </row>
    <row r="28">
      <c r="A28" s="36" t="inlineStr">
        <is>
          <t>▌3シナリオサマリー（前提条件基準値 × 倍率）</t>
        </is>
      </c>
    </row>
    <row r="29">
      <c r="A29" s="4" t="inlineStr">
        <is>
          <t>シナリオ</t>
        </is>
      </c>
      <c r="B29" s="4" t="inlineStr">
        <is>
          <t>Y1 売上</t>
        </is>
      </c>
      <c r="C29" s="4" t="inlineStr">
        <is>
          <t>Y1 粗利</t>
        </is>
      </c>
      <c r="D29" s="4" t="inlineStr">
        <is>
          <t>Y1 営業利益</t>
        </is>
      </c>
      <c r="E29" s="4" t="inlineStr">
        <is>
          <t>Y2 売上</t>
        </is>
      </c>
      <c r="F29" s="4" t="inlineStr">
        <is>
          <t>Y2 粗利</t>
        </is>
      </c>
      <c r="G29" s="4" t="inlineStr">
        <is>
          <t>Y2 営業利益</t>
        </is>
      </c>
      <c r="H29" s="4" t="inlineStr">
        <is>
          <t>Y3 売上</t>
        </is>
      </c>
      <c r="I29" s="4" t="inlineStr">
        <is>
          <t>Y3 営業利益</t>
        </is>
      </c>
    </row>
    <row r="30">
      <c r="A30" s="24" t="inlineStr">
        <is>
          <t>Bear（悲観）  ×0.70</t>
        </is>
      </c>
      <c r="B30" s="25">
        <f>ROUND(前提条件!B15*0.7,0)</f>
        <v/>
      </c>
      <c r="C30" s="25">
        <f>ROUND(前提条件!B26*0.7,0)</f>
        <v/>
      </c>
      <c r="D30" s="25">
        <f>ROUND(前提条件!B40*0.7,0)</f>
        <v/>
      </c>
      <c r="E30" s="25">
        <f>ROUND(前提条件!C15*0.7,0)</f>
        <v/>
      </c>
      <c r="F30" s="25">
        <f>ROUND(前提条件!C26*0.7,0)</f>
        <v/>
      </c>
      <c r="G30" s="25">
        <f>ROUND(前提条件!C40*0.7,0)</f>
        <v/>
      </c>
      <c r="H30" s="25">
        <f>ROUND(前提条件!D15*0.7,0)</f>
        <v/>
      </c>
      <c r="I30" s="25">
        <f>ROUND(前提条件!D40*0.7,0)</f>
        <v/>
      </c>
    </row>
    <row r="31">
      <c r="A31" s="40" t="inlineStr">
        <is>
          <t>Base（中央）  ×1.00</t>
        </is>
      </c>
      <c r="B31" s="38">
        <f>ROUND(前提条件!B15*1.0,0)</f>
        <v/>
      </c>
      <c r="C31" s="38">
        <f>ROUND(前提条件!B26*1.0,0)</f>
        <v/>
      </c>
      <c r="D31" s="38">
        <f>ROUND(前提条件!B40*1.0,0)</f>
        <v/>
      </c>
      <c r="E31" s="38">
        <f>ROUND(前提条件!C15*1.0,0)</f>
        <v/>
      </c>
      <c r="F31" s="38">
        <f>ROUND(前提条件!C26*1.0,0)</f>
        <v/>
      </c>
      <c r="G31" s="38">
        <f>ROUND(前提条件!C40*1.0,0)</f>
        <v/>
      </c>
      <c r="H31" s="38">
        <f>ROUND(前提条件!D15*1.0,0)</f>
        <v/>
      </c>
      <c r="I31" s="38">
        <f>ROUND(前提条件!D40*1.0,0)</f>
        <v/>
      </c>
    </row>
    <row r="32">
      <c r="A32" s="14" t="inlineStr">
        <is>
          <t>Bull（楽観）  ×1.30</t>
        </is>
      </c>
      <c r="B32" s="15">
        <f>ROUND(前提条件!B15*1.3,0)</f>
        <v/>
      </c>
      <c r="C32" s="15">
        <f>ROUND(前提条件!B26*1.3,0)</f>
        <v/>
      </c>
      <c r="D32" s="15">
        <f>ROUND(前提条件!B40*1.3,0)</f>
        <v/>
      </c>
      <c r="E32" s="15">
        <f>ROUND(前提条件!C15*1.3,0)</f>
        <v/>
      </c>
      <c r="F32" s="15">
        <f>ROUND(前提条件!C26*1.3,0)</f>
        <v/>
      </c>
      <c r="G32" s="15">
        <f>ROUND(前提条件!C40*1.3,0)</f>
        <v/>
      </c>
      <c r="H32" s="15">
        <f>ROUND(前提条件!D15*1.3,0)</f>
        <v/>
      </c>
      <c r="I32" s="15">
        <f>ROUND(前提条件!D40*1.3,0)</f>
        <v/>
      </c>
    </row>
  </sheetData>
  <mergeCells count="6">
    <mergeCell ref="A2:I2"/>
    <mergeCell ref="A28:I28"/>
    <mergeCell ref="A1:I1"/>
    <mergeCell ref="A12:I12"/>
    <mergeCell ref="A4:I4"/>
    <mergeCell ref="A20:I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45" t="inlineStr">
        <is>
          <t>UNLID SME市場単価調査——中小企業が払える金額・サービス別分析</t>
        </is>
      </c>
    </row>
    <row r="2">
      <c r="A2" s="46" t="inlineStr">
        <is>
          <t>調査時点：2024〜2026年  ／  対象：従業員30〜300名の日本国内中小企業（SME）  ／  単位：万円（月額）</t>
        </is>
      </c>
    </row>
    <row r="3"/>
    <row r="4">
      <c r="A4" s="47" t="inlineStr">
        <is>
          <t>① 業務アウトソーシング・支援サービス 市場相場（SME向け）</t>
        </is>
      </c>
    </row>
    <row r="5">
      <c r="A5" s="48" t="inlineStr">
        <is>
          <t>業務カテゴリ</t>
        </is>
      </c>
      <c r="B5" s="48" t="inlineStr">
        <is>
          <t>相場下限（万円/月）</t>
        </is>
      </c>
      <c r="C5" s="48" t="inlineStr">
        <is>
          <t>相場上限（万円/月）</t>
        </is>
      </c>
      <c r="D5" s="48" t="inlineStr">
        <is>
          <t>最多価格帯</t>
        </is>
      </c>
      <c r="E5" s="48" t="inlineStr">
        <is>
          <t>UNLIDとの関係</t>
        </is>
      </c>
      <c r="F5" s="48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49" t="inlineStr">
        <is>
          <t>月5〜10万</t>
        </is>
      </c>
      <c r="E6" s="5" t="inlineStr">
        <is>
          <t>UNLID若手が補完する領域</t>
        </is>
      </c>
      <c r="F6" s="50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49" t="inlineStr">
        <is>
          <t>月15〜20万</t>
        </is>
      </c>
      <c r="E7" s="5" t="inlineStr">
        <is>
          <t>UNLIDの競合＆補完領域</t>
        </is>
      </c>
      <c r="F7" s="50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49" t="inlineStr">
        <is>
          <t>月15〜20万</t>
        </is>
      </c>
      <c r="E8" s="5" t="inlineStr">
        <is>
          <t>UNLIDの直接競合価格帯</t>
        </is>
      </c>
      <c r="F8" s="50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49" t="inlineStr">
        <is>
          <t>月15〜25万</t>
        </is>
      </c>
      <c r="E9" s="5" t="inlineStr">
        <is>
          <t>UNLIDクエストの一部として提供可</t>
        </is>
      </c>
      <c r="F9" s="50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49" t="inlineStr">
        <is>
          <t>月40〜60万</t>
        </is>
      </c>
      <c r="E10" s="5" t="inlineStr">
        <is>
          <t>UNLIDより高単価の上位市場</t>
        </is>
      </c>
      <c r="F10" s="50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49" t="inlineStr">
        <is>
          <t>月80〜120万</t>
        </is>
      </c>
      <c r="E11" s="5" t="inlineStr">
        <is>
          <t>UNLIDより5〜10倍高い。SMEは手が出ない</t>
        </is>
      </c>
      <c r="F11" s="50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49" t="inlineStr">
        <is>
          <t>プロジェクト型</t>
        </is>
      </c>
      <c r="E12" s="5" t="inlineStr">
        <is>
          <t>UNLIDのプロジェクト型収益（3ヶ月80〜200万）</t>
        </is>
      </c>
      <c r="F12" s="50" t="inlineStr">
        <is>
          <t>矢野経済研究所「AI導入コスト調査」2024年</t>
        </is>
      </c>
    </row>
    <row r="13">
      <c r="A13" s="51" t="inlineStr">
        <is>
          <t>★ UNLID フラクショナルFDE</t>
        </is>
      </c>
      <c r="B13" s="52" t="n">
        <v>20</v>
      </c>
      <c r="C13" s="52" t="n">
        <v>30</v>
      </c>
      <c r="D13" s="53" t="inlineStr">
        <is>
          <t>月20〜30万</t>
        </is>
      </c>
      <c r="E13" s="54" t="inlineStr">
        <is>
          <t>IT顧問より安く・ROI明確・最低単価20万円設定</t>
        </is>
      </c>
      <c r="F13" s="55" t="inlineStr">
        <is>
          <t>本資料 競合分析＆SME支払意欲調査</t>
        </is>
      </c>
    </row>
    <row r="14"/>
    <row r="15">
      <c r="A15" s="47" t="inlineStr">
        <is>
          <t>② SMEが月20〜30万円を払うことへのROI根拠（業務別）</t>
        </is>
      </c>
    </row>
    <row r="16">
      <c r="A16" s="48" t="inlineStr">
        <is>
          <t>SMEの業務課題（痛み）</t>
        </is>
      </c>
      <c r="B16" s="48" t="inlineStr">
        <is>
          <t>UNLID対応クエスト</t>
        </is>
      </c>
      <c r="C16" s="48" t="inlineStr">
        <is>
          <t>月額費用</t>
        </is>
      </c>
      <c r="D16" s="48" t="inlineStr">
        <is>
          <t>期待ROI（月）</t>
        </is>
      </c>
      <c r="E16" s="48" t="inlineStr">
        <is>
          <t>ROI根拠</t>
        </is>
      </c>
      <c r="F16" s="48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49" t="inlineStr">
        <is>
          <t>月5〜15万</t>
        </is>
      </c>
      <c r="D17" s="51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50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49" t="inlineStr">
        <is>
          <t>月10〜20万</t>
        </is>
      </c>
      <c r="D18" s="51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50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49" t="inlineStr">
        <is>
          <t>月20〜30万</t>
        </is>
      </c>
      <c r="D19" s="51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50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49" t="inlineStr">
        <is>
          <t>月8〜15万</t>
        </is>
      </c>
      <c r="D20" s="51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50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49" t="inlineStr">
        <is>
          <t>月5〜15万</t>
        </is>
      </c>
      <c r="D21" s="51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50" t="inlineStr">
        <is>
          <t>パーソル総合研究所「OJTに関する定量調査」2025年1月</t>
        </is>
      </c>
    </row>
    <row r="22"/>
    <row r="23">
      <c r="A23" s="47" t="inlineStr">
        <is>
          <t>③ 価格帯別 SME継続率・解約率仮説（業界ベンチマーク比較）</t>
        </is>
      </c>
    </row>
    <row r="24">
      <c r="A24" s="48" t="inlineStr">
        <is>
          <t>月額価格帯</t>
        </is>
      </c>
      <c r="B24" s="48" t="inlineStr">
        <is>
          <t>想定継続月数</t>
        </is>
      </c>
      <c r="C24" s="48" t="inlineStr">
        <is>
          <t>3ヶ月継続率</t>
        </is>
      </c>
      <c r="D24" s="48" t="inlineStr">
        <is>
          <t>12ヶ月継続率</t>
        </is>
      </c>
      <c r="E24" s="48" t="inlineStr">
        <is>
          <t>解約リスク要因</t>
        </is>
      </c>
      <c r="F24" s="48" t="inlineStr">
        <is>
          <t>参考：類似SaaSベンチマーク</t>
        </is>
      </c>
    </row>
    <row r="25">
      <c r="A25" s="5" t="inlineStr">
        <is>
          <t>月5〜10万（格安BPO）</t>
        </is>
      </c>
      <c r="B25" s="49" t="inlineStr">
        <is>
          <t>平均3〜6ヶ月</t>
        </is>
      </c>
      <c r="C25" s="49" t="inlineStr">
        <is>
          <t>65〜75%</t>
        </is>
      </c>
      <c r="D25" s="49" t="inlineStr">
        <is>
          <t>40〜55%</t>
        </is>
      </c>
      <c r="E25" s="5" t="inlineStr">
        <is>
          <t>ROIが見えにくい・担当者変更</t>
        </is>
      </c>
      <c r="F25" s="50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49" t="inlineStr">
        <is>
          <t>平均6〜12ヶ月</t>
        </is>
      </c>
      <c r="C26" s="49" t="inlineStr">
        <is>
          <t>70〜80%</t>
        </is>
      </c>
      <c r="D26" s="49" t="inlineStr">
        <is>
          <t>50〜65%</t>
        </is>
      </c>
      <c r="E26" s="5" t="inlineStr">
        <is>
          <t>効果の可視化が鍵</t>
        </is>
      </c>
      <c r="F26" s="50" t="inlineStr">
        <is>
          <t>HRコンサル・IT顧問業界ベンチマーク</t>
        </is>
      </c>
    </row>
    <row r="27">
      <c r="A27" s="51" t="inlineStr">
        <is>
          <t>月20〜30万（★UNLID価格帯）</t>
        </is>
      </c>
      <c r="B27" s="56" t="inlineStr">
        <is>
          <t>平均12〜18ヶ月</t>
        </is>
      </c>
      <c r="C27" s="53" t="inlineStr">
        <is>
          <t>80〜88%</t>
        </is>
      </c>
      <c r="D27" s="53" t="inlineStr">
        <is>
          <t>65〜75%</t>
        </is>
      </c>
      <c r="E27" s="54" t="inlineStr">
        <is>
          <t>ROI可視化と完遂ログが継続を後押し</t>
        </is>
      </c>
      <c r="F27" s="55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49" t="inlineStr">
        <is>
          <t>平均12〜24ヶ月</t>
        </is>
      </c>
      <c r="C28" s="49" t="inlineStr">
        <is>
          <t>80〜90%</t>
        </is>
      </c>
      <c r="D28" s="49" t="inlineStr">
        <is>
          <t>65〜75%</t>
        </is>
      </c>
      <c r="E28" s="5" t="inlineStr">
        <is>
          <t>担当者変更・予算削減</t>
        </is>
      </c>
      <c r="F28" s="50" t="inlineStr">
        <is>
          <t>サーキュレーション顧客定着率実績（参考）</t>
        </is>
      </c>
    </row>
    <row r="29">
      <c r="A29" s="57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15:F15"/>
    <mergeCell ref="A15:D15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2026-03-24T00:20:31Z</dcterms:created>
  <dcterms:modified xsi:type="dcterms:W3CDTF">2026-03-24T03:27:38Z</dcterms:modified>
</cp:coreProperties>
</file>