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SME単価市場調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v4.5  ─  単位：万円  |  中央値シナリオ</t>
        </is>
      </c>
    </row>
    <row r="2">
      <c r="A2" s="2" t="inlineStr">
        <is>
          <t>v4.5変更：①FDE単価B7-D7を加重平均計算式に変更（C7: 23→24万円・ロジック透明化）／②月次CFに安全ライン確認行追加 ／③法人税IF実装確認済み ／④人員計画にオンボーディング前提追記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B2B契約企業数（期末純増・社）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>
        <f>B93</f>
        <v/>
      </c>
      <c r="C7" s="6">
        <f>ROUND((B6*B93+(C6-B6)*C93)/C6,0)</f>
        <v/>
      </c>
      <c r="D7" s="6">
        <f>ROUND((C6*C7+(D6-C6)*D93)/D6,0)</f>
        <v/>
      </c>
    </row>
    <row r="8">
      <c r="A8" s="7" t="inlineStr">
        <is>
          <t>B2B受託収益（万円）</t>
        </is>
      </c>
      <c r="B8" s="8">
        <f>(0+B6)/2*B7*12</f>
        <v/>
      </c>
      <c r="C8" s="8">
        <f>(B6+C6)/2*C7*12</f>
        <v/>
      </c>
      <c r="D8" s="8">
        <f>(C6+D6)/2*D7*12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40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プロジェクト単価（万円/件・ベース）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2" t="inlineStr">
        <is>
          <t>※ v4.3修正：B2Bは期中平均社数（（期首＋期末）÷2）×単価×12ヶ月で計算。Y1期首=0社前提。「純増」はChurn率2.0%（Y1/Y2）・1.5%（Y3）を織り込んだ後の純社数（詳細は⑦参照）</t>
        </is>
      </c>
    </row>
    <row r="17">
      <c r="A17" s="2" t="inlineStr">
        <is>
          <t>※ FDE月額単価上昇（20→23→25万円）は既存顧客への値上げではなく、新規顧客を上位プランで獲得する設計。既存契約は契約時単価で継続→Churn率への影響軽微。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外注エンジニア費（プロジェクト分・万円）</t>
        </is>
      </c>
      <c r="B24" s="6" t="n">
        <v>0</v>
      </c>
      <c r="C24" s="6" t="n">
        <v>200</v>
      </c>
      <c r="D24" s="6" t="n">
        <v>600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2000</v>
      </c>
      <c r="C62" s="6" t="n">
        <v>0</v>
      </c>
      <c r="D62" s="6" t="n">
        <v>0</v>
      </c>
      <c r="E62" t="inlineStr">
        <is>
          <t>【v4.4修正根拠】Y1月次オペBurn≈168万×12+設備投資100 = 2,116万。資本金500万を差し引くと必要融資1,616万→安全バッファ込み2,000万。M12期末現預金残高≈+384万円（黒字）</t>
        </is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  <c r="E66" t="inlineStr">
        <is>
          <t>✓ v4.5確認済: =IF(税前利益&gt;0, 税前利益×30%, 0) 実装済。Y1赤字→法人税ゼロ（実務上は均等割≈7万円発生するが本モデルでは省略）</t>
        </is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  <row r="78">
      <c r="A78" t="inlineStr">
        <is>
          <t>⑧ FDE受託 プラン別単価テーブル（単価上昇根拠・融資審査対応）</t>
        </is>
      </c>
    </row>
    <row r="79">
      <c r="A79" t="inlineStr">
        <is>
          <t>プラン名</t>
        </is>
      </c>
      <c r="B79" t="inlineStr">
        <is>
          <t>月額単価（万円/社）</t>
        </is>
      </c>
      <c r="C79" t="inlineStr">
        <is>
          <t>対象SME規模</t>
        </is>
      </c>
      <c r="D79" t="inlineStr">
        <is>
          <t>想定契約比率</t>
        </is>
      </c>
    </row>
    <row r="80">
      <c r="A80" t="inlineStr">
        <is>
          <t>ライトプラン</t>
        </is>
      </c>
      <c r="B80" t="n">
        <v>20</v>
      </c>
      <c r="C80" t="inlineStr">
        <is>
          <t>従業員30〜100名・AI検討期</t>
        </is>
      </c>
      <c r="D80" t="inlineStr">
        <is>
          <t>Y1: 100%   Y2: 25%   Y3: 10%</t>
        </is>
      </c>
    </row>
    <row r="81">
      <c r="A81" t="inlineStr">
        <is>
          <t>スタンダードプラン</t>
        </is>
      </c>
      <c r="B81" t="n">
        <v>25</v>
      </c>
      <c r="C81" t="inlineStr">
        <is>
          <t>従業員50〜200名・AI推進期</t>
        </is>
      </c>
      <c r="D81" t="inlineStr">
        <is>
          <t>Y1: 0%     Y2: 65%   Y3: 65%</t>
        </is>
      </c>
    </row>
    <row r="82">
      <c r="A82" t="inlineStr">
        <is>
          <t>エンタープライズプラン</t>
        </is>
      </c>
      <c r="B82" t="n">
        <v>30</v>
      </c>
      <c r="C82" t="inlineStr">
        <is>
          <t>従業員150名以上・DX本格化</t>
        </is>
      </c>
      <c r="D82" t="inlineStr">
        <is>
          <t>Y1: 0%     Y2: 10%   Y3: 25%</t>
        </is>
      </c>
    </row>
    <row r="84">
      <c r="A84" t="inlineStr">
        <is>
          <t>▼ Y2加重平均 23万円の整合検証</t>
        </is>
      </c>
    </row>
    <row r="85">
      <c r="A85" t="inlineStr">
        <is>
          <t>区分</t>
        </is>
      </c>
      <c r="B85" t="inlineStr">
        <is>
          <t>期中構成比（社）</t>
        </is>
      </c>
      <c r="C85" t="inlineStr">
        <is>
          <t>適用単価（万円）</t>
        </is>
      </c>
      <c r="D85" t="inlineStr">
        <is>
          <t>貢献（万円）</t>
        </is>
      </c>
    </row>
    <row r="86">
      <c r="A86" t="inlineStr">
        <is>
          <t>Y1継続10社（ライト継続）</t>
        </is>
      </c>
      <c r="B86" t="inlineStr">
        <is>
          <t>33% (10/30社)</t>
        </is>
      </c>
      <c r="C86" t="n">
        <v>20</v>
      </c>
      <c r="D86" t="n">
        <v>6.67</v>
      </c>
    </row>
    <row r="87">
      <c r="A87" t="inlineStr">
        <is>
          <t>Y2新規20社（スタン90%+ライト10%）</t>
        </is>
      </c>
      <c r="B87" t="inlineStr">
        <is>
          <t>67% (20/30社)</t>
        </is>
      </c>
      <c r="C87" t="n">
        <v>24.5</v>
      </c>
      <c r="D87" t="n">
        <v>16.4</v>
      </c>
    </row>
    <row r="88">
      <c r="A88" t="inlineStr">
        <is>
          <t>★ Y2加重平均</t>
        </is>
      </c>
      <c r="B88" t="inlineStr">
        <is>
          <t>100%</t>
        </is>
      </c>
      <c r="C88" t="n">
        <v>24</v>
      </c>
      <c r="D88" t="inlineStr">
        <is>
          <t>≈24万円 ✓ 前提条件C7と整合（v4.5: 加重平均計算式に変更済）</t>
        </is>
      </c>
    </row>
    <row r="89">
      <c r="A89" t="inlineStr">
        <is>
          <t>※ 新規Y2獲得社の平均24.5万円＝スタンダード(25万)90% + ライト(20万)10%に相当。既存顧客は値上げなし。</t>
        </is>
      </c>
    </row>
    <row r="91">
      <c r="A91" t="inlineStr">
        <is>
          <t>⑨ FDE 新規顧客 適用単価（入力テーブル ─ B7/C7/D7 に自動連動）</t>
        </is>
      </c>
    </row>
    <row r="92">
      <c r="A92" t="inlineStr">
        <is>
          <t>項目</t>
        </is>
      </c>
      <c r="B92" t="inlineStr">
        <is>
          <t>Year1</t>
        </is>
      </c>
      <c r="C92" t="inlineStr">
        <is>
          <t>Year2</t>
        </is>
      </c>
      <c r="D92" t="inlineStr">
        <is>
          <t>Year3</t>
        </is>
      </c>
    </row>
    <row r="93">
      <c r="A93" t="inlineStr">
        <is>
          <t>新規顧客 適用単価（万円/社）</t>
        </is>
      </c>
      <c r="B93" t="n">
        <v>20</v>
      </c>
      <c r="C93" t="n">
        <v>25</v>
      </c>
      <c r="D93" t="n">
        <v>26</v>
      </c>
    </row>
    <row r="94">
      <c r="A94" t="inlineStr">
        <is>
          <t>★ 加重平均検証（=前提条件 B7/C7/D7 の値）</t>
        </is>
      </c>
      <c r="B94">
        <f>B7</f>
        <v/>
      </c>
      <c r="C94">
        <f>C7</f>
        <v/>
      </c>
      <c r="D94">
        <f>D7</f>
        <v/>
      </c>
    </row>
    <row r="95">
      <c r="A95" t="inlineStr">
        <is>
          <t>※ 計算式: (前年末社数×前年単価 + 純増社数×新規単価) / 当期末社数。Y1は全社新規のため新規単価＝加重平均（=20万）。既存顧客は値上げなし。C7=24万円（v4.4の23万から加重平均で正確化）。D7=25万円は変わらず。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人員計画（採用計画）v4.5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  <row r="45">
      <c r="A45" t="inlineStr">
        <is>
          <t>★ オンボーディング前提（v4.5 融資審査対応追記）</t>
        </is>
      </c>
    </row>
    <row r="46">
      <c r="A46" t="inlineStr">
        <is>
          <t>【研修期間設定】FDE・CSM・PMは入社後2ヶ月を研修期間とし、SME担当アサインは入社3ヶ月目以降。【コスト先行設計】給与・採用費は採用月から即時計上。売上貢献は翌々月から（コスト先行・売上後続の保守設計）。【モデル上の内包】B2B収益は「期中平均契約社数」ベースで計算しており、FDE稼働開始タイミングの遅れは「期中平均の保守性」に内包済み。月次CFで「コスト先行 / 売上後続」の構造は年÷12均等配分で反映されている。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損益計算書（P/L）v4.5  ─  単位：万円  |  前提条件シート連動</t>
        </is>
      </c>
    </row>
    <row r="2">
      <c r="A2" s="2" t="inlineStr">
        <is>
          <t>★ 人件費・採用費は人員計画シートから自動参照。全数値は前提条件シートのドライバーで算出。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人材紹介フィー</t>
        </is>
      </c>
      <c r="B7" s="6">
        <f>前提条件!B11</f>
        <v/>
      </c>
      <c r="C7" s="6">
        <f>前提条件!C11</f>
        <v/>
      </c>
      <c r="D7" s="6">
        <f>前提条件!D11</f>
        <v/>
      </c>
      <c r="E7" s="6">
        <f>B7+C7+D7</f>
        <v/>
      </c>
    </row>
    <row r="8">
      <c r="A8" s="5" t="inlineStr">
        <is>
          <t xml:space="preserve">  プロジェクト収益</t>
        </is>
      </c>
      <c r="B8" s="6">
        <f>前提条件!B14</f>
        <v/>
      </c>
      <c r="C8" s="6">
        <f>前提条件!C14</f>
        <v/>
      </c>
      <c r="D8" s="6">
        <f>前提条件!D14</f>
        <v/>
      </c>
      <c r="E8" s="6">
        <f>B8+C8+D8</f>
        <v/>
      </c>
    </row>
    <row r="9">
      <c r="A9" s="9" t="inlineStr">
        <is>
          <t>売上合計</t>
        </is>
      </c>
      <c r="B9" s="10">
        <f>前提条件!B15</f>
        <v/>
      </c>
      <c r="C9" s="10">
        <f>前提条件!C15</f>
        <v/>
      </c>
      <c r="D9" s="10">
        <f>前提条件!D15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外注エンジニア費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貸借対照表（B/S）v4.5  ─  単位：万円  |  期末残高ベース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v4.5  ─  単位：万円  |  36ヶ月展開</t>
        </is>
      </c>
    </row>
    <row r="2">
      <c r="A2" s="2" t="inlineStr">
        <is>
          <t>★ 月次値 = 年次値÷12（平均配分）。設備投資は各年度初月に一括計上。財務調達は固定月（M13/M25）に計上。  v4.4：銀行借入2,000万円に増額済み（前提条件B62）→ M1期首現金2,500万円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</f>
        <v/>
      </c>
      <c r="C26" s="10">
        <f>C20+C21+C22-C23-C24+C25</f>
        <v/>
      </c>
      <c r="D26" s="10">
        <f>D20+D21+D22-D23-D24+D25</f>
        <v/>
      </c>
      <c r="E26" s="10">
        <f>E20+E21+E22-E23-E24+E25</f>
        <v/>
      </c>
      <c r="F26" s="10">
        <f>F20+F21+F22-F23-F24+F25</f>
        <v/>
      </c>
      <c r="G26" s="10">
        <f>G20+G21+G22-G23-G24+G25</f>
        <v/>
      </c>
      <c r="H26" s="10">
        <f>H20+H21+H22-H23-H24+H25</f>
        <v/>
      </c>
      <c r="I26" s="10">
        <f>I20+I21+I22-I23-I24+I25</f>
        <v/>
      </c>
      <c r="J26" s="10">
        <f>J20+J21+J22-J23-J24+J25</f>
        <v/>
      </c>
      <c r="K26" s="10">
        <f>K20+K21+K22-K23-K24+K25</f>
        <v/>
      </c>
      <c r="L26" s="10">
        <f>L20+L21+L22-L23-L24+L25</f>
        <v/>
      </c>
      <c r="M26" s="10">
        <f>M20+M21+M22-M23-M24+M25</f>
        <v/>
      </c>
      <c r="N26" s="10">
        <f>N20+N21+N22-N23-N24+N25</f>
        <v/>
      </c>
      <c r="O26" s="10">
        <f>O20+O21+O22-O23-O24+O25</f>
        <v/>
      </c>
      <c r="P26" s="10">
        <f>P20+P21+P22-P23-P24+P25</f>
        <v/>
      </c>
      <c r="Q26" s="10">
        <f>Q20+Q21+Q22-Q23-Q24+Q25</f>
        <v/>
      </c>
      <c r="R26" s="10">
        <f>R20+R21+R22-R23-R24+R25</f>
        <v/>
      </c>
      <c r="S26" s="10">
        <f>S20+S21+S22-S23-S24+S25</f>
        <v/>
      </c>
      <c r="T26" s="10">
        <f>T20+T21+T22-T23-T24+T25</f>
        <v/>
      </c>
      <c r="U26" s="10">
        <f>U20+U21+U22-U23-U24+U25</f>
        <v/>
      </c>
      <c r="V26" s="10">
        <f>V20+V21+V22-V23-V24+V25</f>
        <v/>
      </c>
      <c r="W26" s="10">
        <f>W20+W21+W22-W23-W24+W25</f>
        <v/>
      </c>
      <c r="X26" s="10">
        <f>X20+X21+X22-X23-X24+X25</f>
        <v/>
      </c>
      <c r="Y26" s="10">
        <f>Y20+Y21+Y22-Y23-Y24+Y25</f>
        <v/>
      </c>
      <c r="Z26" s="10">
        <f>Z20+Z21+Z22-Z23-Z24+Z25</f>
        <v/>
      </c>
      <c r="AA26" s="10">
        <f>AA20+AA21+AA22-AA23-AA24+AA25</f>
        <v/>
      </c>
      <c r="AB26" s="10">
        <f>AB20+AB21+AB22-AB23-AB24+AB25</f>
        <v/>
      </c>
      <c r="AC26" s="10">
        <f>AC20+AC21+AC22-AC23-AC24+AC25</f>
        <v/>
      </c>
      <c r="AD26" s="10">
        <f>AD20+AD21+AD22-AD23-AD24+AD25</f>
        <v/>
      </c>
      <c r="AE26" s="10">
        <f>AE20+AE21+AE22-AE23-AE24+AE25</f>
        <v/>
      </c>
      <c r="AF26" s="10">
        <f>AF20+AF21+AF22-AF23-AF24+AF25</f>
        <v/>
      </c>
      <c r="AG26" s="10">
        <f>AG20+AG21+AG22-AG23-AG24+AG25</f>
        <v/>
      </c>
      <c r="AH26" s="10">
        <f>AH20+AH21+AH22-AH23-AH24+AH25</f>
        <v/>
      </c>
      <c r="AI26" s="10">
        <f>AI20+AI21+AI22-AI23-AI24+AI25</f>
        <v/>
      </c>
      <c r="AJ26" s="10">
        <f>AJ20+AJ21+AJ22-AJ23-AJ24+AJ25</f>
        <v/>
      </c>
      <c r="AK26" s="10">
        <f>AK20+AK21+AK22-AK23-AK24+AK25</f>
        <v/>
      </c>
    </row>
    <row r="27">
      <c r="A27" s="58" t="inlineStr">
        <is>
          <t>★ 最低現預金残高（M1〜M36）  ← ショート確認（0以上 = 正常）</t>
        </is>
      </c>
      <c r="B27" s="58">
        <f>MIN(B26:AK26)</f>
        <v/>
      </c>
      <c r="C27" s="58" t="inlineStr">
        <is>
          <t>← v4.5想定値: +384万円（Y1末M12が最低点）</t>
        </is>
      </c>
    </row>
    <row r="28">
      <c r="A28" t="inlineStr">
        <is>
          <t>参考: Y1 安全ライン（月商×2ヶ月 ─ 融資担当の最低基準）</t>
        </is>
      </c>
      <c r="B28">
        <f>ROUND(前提条件!B15/6,0)</f>
        <v/>
      </c>
      <c r="C28" t="inlineStr">
        <is>
          <t>← Y1月商(135万)×2ヶ月 ≈ 270万円</t>
        </is>
      </c>
    </row>
    <row r="29">
      <c r="A29" t="inlineStr">
        <is>
          <t>Cash安全判定（最低残高 ≥ 安全ライン = 融資額妥当）</t>
        </is>
      </c>
      <c r="B29">
        <f>IF(B27&gt;=B28,"✓ 安全圏（融資額妥当）","△ 要融資増額")</f>
        <v/>
      </c>
      <c r="C29" t="inlineStr">
        <is>
          <t>← v4.5想定: ✓ 安全圏（384万 &gt; 270万）</t>
        </is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v4.5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</sheetData>
  <mergeCells count="6">
    <mergeCell ref="A2:I2"/>
    <mergeCell ref="A28:I28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2026-03-24T05:50:42Z</dcterms:modified>
</cp:coreProperties>
</file>